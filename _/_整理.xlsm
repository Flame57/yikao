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练功_中医\中医考试\yikao\"/>
    </mc:Choice>
  </mc:AlternateContent>
  <xr:revisionPtr revIDLastSave="0" documentId="13_ncr:1_{6375AB9E-BA11-49F7-81F3-0C87C4B8713D}" xr6:coauthVersionLast="47" xr6:coauthVersionMax="47" xr10:uidLastSave="{00000000-0000-0000-0000-000000000000}"/>
  <bookViews>
    <workbookView xWindow="5208" yWindow="420" windowWidth="13080" windowHeight="10440" activeTab="3" xr2:uid="{14FD703D-164D-4357-942D-0FBD9C4C4276}"/>
  </bookViews>
  <sheets>
    <sheet name="内科" sheetId="18" r:id="rId1"/>
    <sheet name="辨证论治 0" sheetId="19" r:id="rId2"/>
    <sheet name="辨证论治" sheetId="20" r:id="rId3"/>
    <sheet name="诊断" sheetId="21" r:id="rId4"/>
    <sheet name="药" sheetId="2" r:id="rId5"/>
    <sheet name="药总" sheetId="3" r:id="rId6"/>
    <sheet name="方剂" sheetId="4" r:id="rId7"/>
    <sheet name="方剂 总" sheetId="5" r:id="rId8"/>
    <sheet name="组成统计" sheetId="14" r:id="rId9"/>
    <sheet name="组合" sheetId="15" r:id="rId10"/>
    <sheet name="次数" sheetId="11" r:id="rId11"/>
    <sheet name="bys" sheetId="16" r:id="rId12"/>
    <sheet name="组成 (2)" sheetId="13" r:id="rId13"/>
    <sheet name="方剂汇总" sheetId="17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26" i="20" l="1"/>
  <c r="S25" i="20"/>
  <c r="S24" i="20"/>
  <c r="S23" i="20"/>
  <c r="S68" i="20"/>
  <c r="S169" i="20"/>
  <c r="S9" i="20"/>
  <c r="S51" i="20"/>
  <c r="S72" i="20"/>
  <c r="S60" i="20"/>
  <c r="S93" i="20"/>
  <c r="S112" i="20"/>
  <c r="S27" i="20"/>
  <c r="S166" i="20"/>
  <c r="S121" i="20"/>
  <c r="S32" i="20"/>
  <c r="S160" i="20"/>
  <c r="S152" i="20"/>
  <c r="S149" i="20"/>
  <c r="S54" i="20"/>
  <c r="S79" i="20"/>
  <c r="S12" i="20"/>
  <c r="S6" i="20"/>
  <c r="S123" i="20"/>
  <c r="S90" i="20"/>
  <c r="S83" i="20"/>
  <c r="S96" i="20"/>
  <c r="S66" i="20"/>
  <c r="S122" i="20"/>
  <c r="S91" i="20"/>
  <c r="S35" i="20"/>
  <c r="S102" i="20"/>
  <c r="S31" i="20"/>
  <c r="S113" i="20"/>
  <c r="S137" i="20"/>
  <c r="S89" i="20"/>
  <c r="S55" i="20"/>
  <c r="S80" i="20"/>
  <c r="S84" i="20"/>
  <c r="S167" i="20"/>
  <c r="S29" i="20"/>
  <c r="S34" i="20"/>
  <c r="S30" i="20"/>
  <c r="S53" i="20"/>
  <c r="S43" i="20"/>
  <c r="S142" i="20"/>
  <c r="S52" i="20"/>
  <c r="S45" i="20"/>
  <c r="S41" i="20"/>
  <c r="S143" i="20"/>
  <c r="S42" i="20"/>
  <c r="S159" i="20"/>
  <c r="S67" i="20"/>
  <c r="S164" i="20"/>
  <c r="S153" i="20"/>
  <c r="S148" i="20"/>
  <c r="S145" i="20"/>
  <c r="S61" i="20"/>
  <c r="S124" i="20"/>
  <c r="S168" i="20"/>
  <c r="S116" i="20"/>
  <c r="S111" i="20"/>
  <c r="S21" i="20"/>
  <c r="S171" i="20"/>
  <c r="S64" i="20"/>
  <c r="S47" i="20"/>
  <c r="S40" i="20"/>
  <c r="S44" i="20"/>
  <c r="S141" i="20"/>
  <c r="S50" i="20"/>
  <c r="S46" i="20"/>
  <c r="S37" i="20"/>
  <c r="S10" i="20"/>
  <c r="S28" i="20"/>
  <c r="S129" i="20"/>
  <c r="S4" i="20"/>
  <c r="S75" i="20"/>
  <c r="S62" i="20"/>
  <c r="S57" i="20"/>
  <c r="S134" i="20"/>
  <c r="S99" i="20"/>
  <c r="S131" i="20"/>
  <c r="S74" i="20"/>
  <c r="S58" i="20"/>
  <c r="S82" i="20"/>
  <c r="S70" i="20"/>
  <c r="S94" i="20"/>
  <c r="S130" i="20"/>
  <c r="S165" i="20"/>
  <c r="S133" i="20"/>
  <c r="S78" i="20"/>
  <c r="S114" i="20"/>
  <c r="S18" i="20"/>
  <c r="S162" i="20"/>
  <c r="S118" i="20"/>
  <c r="S98" i="20"/>
  <c r="S104" i="20"/>
  <c r="S170" i="20"/>
  <c r="S138" i="20"/>
  <c r="S86" i="20"/>
  <c r="S14" i="20"/>
  <c r="S8" i="20"/>
  <c r="S36" i="20"/>
  <c r="S92" i="20"/>
  <c r="S101" i="20"/>
  <c r="S33" i="20"/>
  <c r="S147" i="20"/>
  <c r="S117" i="20"/>
  <c r="S155" i="20"/>
  <c r="S126" i="20"/>
  <c r="S158" i="20"/>
  <c r="S65" i="20"/>
  <c r="S5" i="20"/>
  <c r="S136" i="20"/>
  <c r="S88" i="20"/>
  <c r="S87" i="20"/>
  <c r="S132" i="20"/>
  <c r="S77" i="20"/>
  <c r="S157" i="20"/>
  <c r="S105" i="20"/>
  <c r="S161" i="20"/>
  <c r="S13" i="20"/>
  <c r="S139" i="20"/>
  <c r="S48" i="20"/>
  <c r="S103" i="20"/>
  <c r="S73" i="20"/>
  <c r="S81" i="20"/>
  <c r="S97" i="20"/>
  <c r="S38" i="20"/>
  <c r="S56" i="20"/>
  <c r="S69" i="20"/>
  <c r="S85" i="20"/>
  <c r="S7" i="20"/>
  <c r="S135" i="20"/>
  <c r="S71" i="20"/>
  <c r="S115" i="20"/>
  <c r="S110" i="20"/>
  <c r="S106" i="20"/>
  <c r="S172" i="20"/>
  <c r="S127" i="20"/>
  <c r="S140" i="20"/>
  <c r="S59" i="20"/>
  <c r="S63" i="20"/>
  <c r="S76" i="20"/>
  <c r="S95" i="20"/>
  <c r="S39" i="20"/>
  <c r="S154" i="20"/>
  <c r="S151" i="20"/>
  <c r="S146" i="20"/>
  <c r="S11" i="20"/>
  <c r="S120" i="20"/>
  <c r="S125" i="20"/>
  <c r="S119" i="20"/>
  <c r="S49" i="20"/>
  <c r="S128" i="20"/>
  <c r="S109" i="20"/>
  <c r="S108" i="20"/>
  <c r="S3" i="20"/>
  <c r="S107" i="20"/>
  <c r="S2" i="20"/>
  <c r="S19" i="20"/>
  <c r="S17" i="20"/>
  <c r="S16" i="20"/>
  <c r="S163" i="20"/>
  <c r="S150" i="20"/>
  <c r="S144" i="20"/>
  <c r="S22" i="20"/>
  <c r="S15" i="20"/>
  <c r="S100" i="20"/>
  <c r="S156" i="20"/>
  <c r="S20" i="20"/>
  <c r="R161" i="19"/>
  <c r="R158" i="19"/>
  <c r="R155" i="19"/>
  <c r="R147" i="19"/>
  <c r="R143" i="19"/>
  <c r="R41" i="19"/>
  <c r="R31" i="19"/>
  <c r="R52" i="19"/>
  <c r="R101" i="19"/>
  <c r="R92" i="19"/>
  <c r="R71" i="19"/>
  <c r="R59" i="19"/>
  <c r="R140" i="19"/>
  <c r="R36" i="19"/>
  <c r="R94" i="19"/>
  <c r="R154" i="19"/>
  <c r="R146" i="19"/>
  <c r="R39" i="19"/>
  <c r="R50" i="19"/>
  <c r="R119" i="19"/>
  <c r="R116" i="19"/>
  <c r="R111" i="19"/>
  <c r="R75" i="19"/>
  <c r="R62" i="19"/>
  <c r="R57" i="19"/>
  <c r="R165" i="19"/>
  <c r="R149" i="19"/>
  <c r="R43" i="19"/>
  <c r="R8" i="19"/>
  <c r="R150" i="19"/>
  <c r="R144" i="19"/>
  <c r="R18" i="19"/>
  <c r="R105" i="19"/>
  <c r="R133" i="19"/>
  <c r="R110" i="19"/>
  <c r="R120" i="19"/>
  <c r="R115" i="19"/>
  <c r="R106" i="19"/>
  <c r="R95" i="19"/>
  <c r="R54" i="19"/>
  <c r="R118" i="19"/>
  <c r="R127" i="19"/>
  <c r="R53" i="19"/>
  <c r="R42" i="19"/>
  <c r="R30" i="19"/>
  <c r="R29" i="19"/>
  <c r="R27" i="19"/>
  <c r="R73" i="19"/>
  <c r="R61" i="19"/>
  <c r="R69" i="19"/>
  <c r="R56" i="19"/>
  <c r="R64" i="19"/>
  <c r="R28" i="19"/>
  <c r="R17" i="19"/>
  <c r="R33" i="19"/>
  <c r="R103" i="19"/>
  <c r="R132" i="19"/>
  <c r="R112" i="19"/>
  <c r="R51" i="19"/>
  <c r="R162" i="19"/>
  <c r="R139" i="19"/>
  <c r="R159" i="19"/>
  <c r="R137" i="19"/>
  <c r="R11" i="19"/>
  <c r="R151" i="19"/>
  <c r="R93" i="19"/>
  <c r="R35" i="19"/>
  <c r="R23" i="19"/>
  <c r="R3" i="19"/>
  <c r="R164" i="19"/>
  <c r="R145" i="19"/>
  <c r="R138" i="19"/>
  <c r="R170" i="19"/>
  <c r="R83" i="19"/>
  <c r="R152" i="19"/>
  <c r="R141" i="19"/>
  <c r="R126" i="19"/>
  <c r="R81" i="19"/>
  <c r="R124" i="19"/>
  <c r="R34" i="19"/>
  <c r="R77" i="19"/>
  <c r="R5" i="19"/>
  <c r="R136" i="19"/>
  <c r="R135" i="19"/>
  <c r="R107" i="19"/>
  <c r="R114" i="19"/>
  <c r="R100" i="19"/>
  <c r="R70" i="19"/>
  <c r="R123" i="19"/>
  <c r="R47" i="19"/>
  <c r="R102" i="19"/>
  <c r="R14" i="19"/>
  <c r="R49" i="19"/>
  <c r="R172" i="19"/>
  <c r="R21" i="19"/>
  <c r="R10" i="19"/>
  <c r="R48" i="19"/>
  <c r="R167" i="19"/>
  <c r="R142" i="19"/>
  <c r="R74" i="19"/>
  <c r="R37" i="19"/>
  <c r="R156" i="19"/>
  <c r="R40" i="19"/>
  <c r="R55" i="19"/>
  <c r="R88" i="19"/>
  <c r="R157" i="19"/>
  <c r="R91" i="19"/>
  <c r="R6" i="19"/>
  <c r="R113" i="19"/>
  <c r="R125" i="19"/>
  <c r="R166" i="19"/>
  <c r="R16" i="19"/>
  <c r="R2" i="19"/>
  <c r="R25" i="19"/>
  <c r="R66" i="19"/>
  <c r="R84" i="19"/>
  <c r="R9" i="19"/>
  <c r="R122" i="19"/>
  <c r="R15" i="19"/>
  <c r="R87" i="19"/>
  <c r="R130" i="19"/>
  <c r="R19" i="19"/>
  <c r="R20" i="19"/>
  <c r="R86" i="19"/>
  <c r="R67" i="19"/>
  <c r="R96" i="19"/>
  <c r="R109" i="19"/>
  <c r="R148" i="19"/>
  <c r="R58" i="19"/>
  <c r="R89" i="19"/>
  <c r="R7" i="19"/>
  <c r="R12" i="19"/>
  <c r="R26" i="19"/>
  <c r="R82" i="19"/>
  <c r="R72" i="19"/>
  <c r="R13" i="19"/>
  <c r="R46" i="19"/>
  <c r="R60" i="19"/>
  <c r="R134" i="19"/>
  <c r="R131" i="19"/>
  <c r="R171" i="19"/>
  <c r="R63" i="19"/>
  <c r="R78" i="19"/>
  <c r="R80" i="19"/>
  <c r="R32" i="19"/>
  <c r="R76" i="19"/>
  <c r="R24" i="19"/>
  <c r="R85" i="19"/>
  <c r="R168" i="19"/>
  <c r="R22" i="19"/>
  <c r="R129" i="19"/>
  <c r="R4" i="19"/>
  <c r="R65" i="19"/>
  <c r="R44" i="19"/>
  <c r="R163" i="19"/>
  <c r="R68" i="19"/>
  <c r="R153" i="19"/>
  <c r="R108" i="19"/>
  <c r="R45" i="19"/>
  <c r="R169" i="19"/>
  <c r="R98" i="19"/>
  <c r="R97" i="19"/>
  <c r="R99" i="19"/>
  <c r="R128" i="19"/>
  <c r="R90" i="19"/>
  <c r="R121" i="19"/>
  <c r="R160" i="19"/>
  <c r="R38" i="19"/>
  <c r="R79" i="19"/>
  <c r="R104" i="19"/>
  <c r="R117" i="19"/>
  <c r="F4" i="15"/>
  <c r="E4" i="15"/>
  <c r="D4" i="15"/>
  <c r="C4" i="15"/>
  <c r="E4" i="14"/>
  <c r="F4" i="14"/>
  <c r="G4" i="14"/>
  <c r="H4" i="14"/>
  <c r="I4" i="14"/>
  <c r="J4" i="14"/>
  <c r="K4" i="14"/>
  <c r="L4" i="14"/>
  <c r="E35" i="14"/>
  <c r="F35" i="14"/>
  <c r="G35" i="14"/>
  <c r="H35" i="14"/>
  <c r="I35" i="14"/>
  <c r="J35" i="14"/>
  <c r="K35" i="14"/>
  <c r="L35" i="14"/>
  <c r="E132" i="14"/>
  <c r="F132" i="14"/>
  <c r="G132" i="14"/>
  <c r="H132" i="14"/>
  <c r="I132" i="14"/>
  <c r="J132" i="14"/>
  <c r="K132" i="14"/>
  <c r="L132" i="14"/>
  <c r="E133" i="14"/>
  <c r="F133" i="14"/>
  <c r="G133" i="14"/>
  <c r="H133" i="14"/>
  <c r="I133" i="14"/>
  <c r="J133" i="14"/>
  <c r="K133" i="14"/>
  <c r="L133" i="14"/>
  <c r="E134" i="14"/>
  <c r="F134" i="14"/>
  <c r="G134" i="14"/>
  <c r="H134" i="14"/>
  <c r="I134" i="14"/>
  <c r="J134" i="14"/>
  <c r="K134" i="14"/>
  <c r="L134" i="14"/>
  <c r="E135" i="14"/>
  <c r="F135" i="14"/>
  <c r="G135" i="14"/>
  <c r="H135" i="14"/>
  <c r="I135" i="14"/>
  <c r="J135" i="14"/>
  <c r="K135" i="14"/>
  <c r="L135" i="14"/>
  <c r="E136" i="14"/>
  <c r="F136" i="14"/>
  <c r="G136" i="14"/>
  <c r="H136" i="14"/>
  <c r="I136" i="14"/>
  <c r="J136" i="14"/>
  <c r="K136" i="14"/>
  <c r="L136" i="14"/>
  <c r="E137" i="14"/>
  <c r="F137" i="14"/>
  <c r="G137" i="14"/>
  <c r="H137" i="14"/>
  <c r="I137" i="14"/>
  <c r="J137" i="14"/>
  <c r="K137" i="14"/>
  <c r="L137" i="14"/>
  <c r="E59" i="14"/>
  <c r="F59" i="14"/>
  <c r="G59" i="14"/>
  <c r="H59" i="14"/>
  <c r="I59" i="14"/>
  <c r="J59" i="14"/>
  <c r="K59" i="14"/>
  <c r="L59" i="14"/>
  <c r="E29" i="14"/>
  <c r="F29" i="14"/>
  <c r="G29" i="14"/>
  <c r="H29" i="14"/>
  <c r="I29" i="14"/>
  <c r="J29" i="14"/>
  <c r="K29" i="14"/>
  <c r="L29" i="14"/>
  <c r="E60" i="14"/>
  <c r="F60" i="14"/>
  <c r="G60" i="14"/>
  <c r="H60" i="14"/>
  <c r="I60" i="14"/>
  <c r="J60" i="14"/>
  <c r="K60" i="14"/>
  <c r="L60" i="14"/>
  <c r="E30" i="14"/>
  <c r="F30" i="14"/>
  <c r="G30" i="14"/>
  <c r="H30" i="14"/>
  <c r="I30" i="14"/>
  <c r="J30" i="14"/>
  <c r="K30" i="14"/>
  <c r="L30" i="14"/>
  <c r="E31" i="14"/>
  <c r="F31" i="14"/>
  <c r="G31" i="14"/>
  <c r="H31" i="14"/>
  <c r="I31" i="14"/>
  <c r="J31" i="14"/>
  <c r="K31" i="14"/>
  <c r="L31" i="14"/>
  <c r="E14" i="14"/>
  <c r="F14" i="14"/>
  <c r="G14" i="14"/>
  <c r="H14" i="14"/>
  <c r="I14" i="14"/>
  <c r="J14" i="14"/>
  <c r="K14" i="14"/>
  <c r="L14" i="14"/>
  <c r="E39" i="14"/>
  <c r="F39" i="14"/>
  <c r="G39" i="14"/>
  <c r="H39" i="14"/>
  <c r="I39" i="14"/>
  <c r="J39" i="14"/>
  <c r="K39" i="14"/>
  <c r="L39" i="14"/>
  <c r="E27" i="14"/>
  <c r="F27" i="14"/>
  <c r="G27" i="14"/>
  <c r="H27" i="14"/>
  <c r="I27" i="14"/>
  <c r="J27" i="14"/>
  <c r="K27" i="14"/>
  <c r="L27" i="14"/>
  <c r="E104" i="14"/>
  <c r="F104" i="14"/>
  <c r="G104" i="14"/>
  <c r="H104" i="14"/>
  <c r="I104" i="14"/>
  <c r="J104" i="14"/>
  <c r="K104" i="14"/>
  <c r="L104" i="14"/>
  <c r="E19" i="14"/>
  <c r="F19" i="14"/>
  <c r="G19" i="14"/>
  <c r="H19" i="14"/>
  <c r="I19" i="14"/>
  <c r="J19" i="14"/>
  <c r="K19" i="14"/>
  <c r="L19" i="14"/>
  <c r="E43" i="14"/>
  <c r="F43" i="14"/>
  <c r="G43" i="14"/>
  <c r="H43" i="14"/>
  <c r="I43" i="14"/>
  <c r="J43" i="14"/>
  <c r="K43" i="14"/>
  <c r="L43" i="14"/>
  <c r="E45" i="14"/>
  <c r="F45" i="14"/>
  <c r="G45" i="14"/>
  <c r="H45" i="14"/>
  <c r="I45" i="14"/>
  <c r="J45" i="14"/>
  <c r="K45" i="14"/>
  <c r="L45" i="14"/>
  <c r="E3" i="14"/>
  <c r="F3" i="14"/>
  <c r="G3" i="14"/>
  <c r="H3" i="14"/>
  <c r="I3" i="14"/>
  <c r="J3" i="14"/>
  <c r="K3" i="14"/>
  <c r="L3" i="14"/>
  <c r="E138" i="14"/>
  <c r="F138" i="14"/>
  <c r="G138" i="14"/>
  <c r="H138" i="14"/>
  <c r="I138" i="14"/>
  <c r="J138" i="14"/>
  <c r="K138" i="14"/>
  <c r="L138" i="14"/>
  <c r="E139" i="14"/>
  <c r="F139" i="14"/>
  <c r="G139" i="14"/>
  <c r="H139" i="14"/>
  <c r="I139" i="14"/>
  <c r="J139" i="14"/>
  <c r="K139" i="14"/>
  <c r="L139" i="14"/>
  <c r="E140" i="14"/>
  <c r="F140" i="14"/>
  <c r="G140" i="14"/>
  <c r="H140" i="14"/>
  <c r="I140" i="14"/>
  <c r="J140" i="14"/>
  <c r="K140" i="14"/>
  <c r="L140" i="14"/>
  <c r="E88" i="14"/>
  <c r="F88" i="14"/>
  <c r="G88" i="14"/>
  <c r="H88" i="14"/>
  <c r="I88" i="14"/>
  <c r="J88" i="14"/>
  <c r="K88" i="14"/>
  <c r="L88" i="14"/>
  <c r="E61" i="14"/>
  <c r="F61" i="14"/>
  <c r="G61" i="14"/>
  <c r="H61" i="14"/>
  <c r="I61" i="14"/>
  <c r="J61" i="14"/>
  <c r="K61" i="14"/>
  <c r="L61" i="14"/>
  <c r="E89" i="14"/>
  <c r="F89" i="14"/>
  <c r="G89" i="14"/>
  <c r="H89" i="14"/>
  <c r="I89" i="14"/>
  <c r="J89" i="14"/>
  <c r="K89" i="14"/>
  <c r="L89" i="14"/>
  <c r="E90" i="14"/>
  <c r="F90" i="14"/>
  <c r="G90" i="14"/>
  <c r="H90" i="14"/>
  <c r="I90" i="14"/>
  <c r="J90" i="14"/>
  <c r="K90" i="14"/>
  <c r="L90" i="14"/>
  <c r="E91" i="14"/>
  <c r="F91" i="14"/>
  <c r="G91" i="14"/>
  <c r="H91" i="14"/>
  <c r="I91" i="14"/>
  <c r="J91" i="14"/>
  <c r="K91" i="14"/>
  <c r="L91" i="14"/>
  <c r="E76" i="14"/>
  <c r="F76" i="14"/>
  <c r="G76" i="14"/>
  <c r="H76" i="14"/>
  <c r="I76" i="14"/>
  <c r="J76" i="14"/>
  <c r="K76" i="14"/>
  <c r="L76" i="14"/>
  <c r="E55" i="14"/>
  <c r="F55" i="14"/>
  <c r="G55" i="14"/>
  <c r="H55" i="14"/>
  <c r="I55" i="14"/>
  <c r="J55" i="14"/>
  <c r="K55" i="14"/>
  <c r="L55" i="14"/>
  <c r="E49" i="14"/>
  <c r="F49" i="14"/>
  <c r="G49" i="14"/>
  <c r="H49" i="14"/>
  <c r="I49" i="14"/>
  <c r="J49" i="14"/>
  <c r="K49" i="14"/>
  <c r="L49" i="14"/>
  <c r="E13" i="14"/>
  <c r="F13" i="14"/>
  <c r="G13" i="14"/>
  <c r="H13" i="14"/>
  <c r="I13" i="14"/>
  <c r="J13" i="14"/>
  <c r="K13" i="14"/>
  <c r="L13" i="14"/>
  <c r="E66" i="14"/>
  <c r="F66" i="14"/>
  <c r="G66" i="14"/>
  <c r="H66" i="14"/>
  <c r="I66" i="14"/>
  <c r="J66" i="14"/>
  <c r="K66" i="14"/>
  <c r="L66" i="14"/>
  <c r="E36" i="14"/>
  <c r="F36" i="14"/>
  <c r="G36" i="14"/>
  <c r="H36" i="14"/>
  <c r="I36" i="14"/>
  <c r="J36" i="14"/>
  <c r="K36" i="14"/>
  <c r="L36" i="14"/>
  <c r="E7" i="14"/>
  <c r="F7" i="14"/>
  <c r="G7" i="14"/>
  <c r="H7" i="14"/>
  <c r="I7" i="14"/>
  <c r="J7" i="14"/>
  <c r="K7" i="14"/>
  <c r="L7" i="14"/>
  <c r="E17" i="14"/>
  <c r="F17" i="14"/>
  <c r="G17" i="14"/>
  <c r="H17" i="14"/>
  <c r="I17" i="14"/>
  <c r="J17" i="14"/>
  <c r="K17" i="14"/>
  <c r="L17" i="14"/>
  <c r="E141" i="14"/>
  <c r="F141" i="14"/>
  <c r="G141" i="14"/>
  <c r="H141" i="14"/>
  <c r="I141" i="14"/>
  <c r="J141" i="14"/>
  <c r="K141" i="14"/>
  <c r="L141" i="14"/>
  <c r="E142" i="14"/>
  <c r="F142" i="14"/>
  <c r="G142" i="14"/>
  <c r="H142" i="14"/>
  <c r="I142" i="14"/>
  <c r="J142" i="14"/>
  <c r="K142" i="14"/>
  <c r="L142" i="14"/>
  <c r="E143" i="14"/>
  <c r="F143" i="14"/>
  <c r="G143" i="14"/>
  <c r="H143" i="14"/>
  <c r="I143" i="14"/>
  <c r="J143" i="14"/>
  <c r="K143" i="14"/>
  <c r="L143" i="14"/>
  <c r="E144" i="14"/>
  <c r="F144" i="14"/>
  <c r="G144" i="14"/>
  <c r="H144" i="14"/>
  <c r="I144" i="14"/>
  <c r="J144" i="14"/>
  <c r="K144" i="14"/>
  <c r="L144" i="14"/>
  <c r="E145" i="14"/>
  <c r="F145" i="14"/>
  <c r="G145" i="14"/>
  <c r="H145" i="14"/>
  <c r="I145" i="14"/>
  <c r="J145" i="14"/>
  <c r="K145" i="14"/>
  <c r="L145" i="14"/>
  <c r="E146" i="14"/>
  <c r="F146" i="14"/>
  <c r="G146" i="14"/>
  <c r="H146" i="14"/>
  <c r="I146" i="14"/>
  <c r="J146" i="14"/>
  <c r="K146" i="14"/>
  <c r="L146" i="14"/>
  <c r="E92" i="14"/>
  <c r="F92" i="14"/>
  <c r="G92" i="14"/>
  <c r="H92" i="14"/>
  <c r="I92" i="14"/>
  <c r="J92" i="14"/>
  <c r="K92" i="14"/>
  <c r="L92" i="14"/>
  <c r="E32" i="14"/>
  <c r="F32" i="14"/>
  <c r="G32" i="14"/>
  <c r="H32" i="14"/>
  <c r="I32" i="14"/>
  <c r="J32" i="14"/>
  <c r="K32" i="14"/>
  <c r="L32" i="14"/>
  <c r="E93" i="14"/>
  <c r="F93" i="14"/>
  <c r="G93" i="14"/>
  <c r="H93" i="14"/>
  <c r="I93" i="14"/>
  <c r="J93" i="14"/>
  <c r="K93" i="14"/>
  <c r="L93" i="14"/>
  <c r="E113" i="14"/>
  <c r="F113" i="14"/>
  <c r="G113" i="14"/>
  <c r="H113" i="14"/>
  <c r="I113" i="14"/>
  <c r="J113" i="14"/>
  <c r="K113" i="14"/>
  <c r="L113" i="14"/>
  <c r="E33" i="14"/>
  <c r="F33" i="14"/>
  <c r="G33" i="14"/>
  <c r="H33" i="14"/>
  <c r="I33" i="14"/>
  <c r="J33" i="14"/>
  <c r="K33" i="14"/>
  <c r="L33" i="14"/>
  <c r="E50" i="14"/>
  <c r="F50" i="14"/>
  <c r="G50" i="14"/>
  <c r="H50" i="14"/>
  <c r="I50" i="14"/>
  <c r="J50" i="14"/>
  <c r="K50" i="14"/>
  <c r="L50" i="14"/>
  <c r="E77" i="14"/>
  <c r="F77" i="14"/>
  <c r="G77" i="14"/>
  <c r="H77" i="14"/>
  <c r="I77" i="14"/>
  <c r="J77" i="14"/>
  <c r="K77" i="14"/>
  <c r="L77" i="14"/>
  <c r="E74" i="14"/>
  <c r="F74" i="14"/>
  <c r="G74" i="14"/>
  <c r="H74" i="14"/>
  <c r="I74" i="14"/>
  <c r="J74" i="14"/>
  <c r="K74" i="14"/>
  <c r="L74" i="14"/>
  <c r="E21" i="14"/>
  <c r="F21" i="14"/>
  <c r="G21" i="14"/>
  <c r="H21" i="14"/>
  <c r="I21" i="14"/>
  <c r="J21" i="14"/>
  <c r="K21" i="14"/>
  <c r="L21" i="14"/>
  <c r="E44" i="14"/>
  <c r="F44" i="14"/>
  <c r="G44" i="14"/>
  <c r="H44" i="14"/>
  <c r="I44" i="14"/>
  <c r="J44" i="14"/>
  <c r="K44" i="14"/>
  <c r="L44" i="14"/>
  <c r="E6" i="14"/>
  <c r="F6" i="14"/>
  <c r="G6" i="14"/>
  <c r="H6" i="14"/>
  <c r="I6" i="14"/>
  <c r="J6" i="14"/>
  <c r="K6" i="14"/>
  <c r="L6" i="14"/>
  <c r="E147" i="14"/>
  <c r="F147" i="14"/>
  <c r="G147" i="14"/>
  <c r="H147" i="14"/>
  <c r="I147" i="14"/>
  <c r="J147" i="14"/>
  <c r="K147" i="14"/>
  <c r="L147" i="14"/>
  <c r="E148" i="14"/>
  <c r="F148" i="14"/>
  <c r="G148" i="14"/>
  <c r="H148" i="14"/>
  <c r="I148" i="14"/>
  <c r="J148" i="14"/>
  <c r="K148" i="14"/>
  <c r="L148" i="14"/>
  <c r="E94" i="14"/>
  <c r="F94" i="14"/>
  <c r="G94" i="14"/>
  <c r="H94" i="14"/>
  <c r="I94" i="14"/>
  <c r="J94" i="14"/>
  <c r="K94" i="14"/>
  <c r="L94" i="14"/>
  <c r="E95" i="14"/>
  <c r="F95" i="14"/>
  <c r="G95" i="14"/>
  <c r="H95" i="14"/>
  <c r="I95" i="14"/>
  <c r="J95" i="14"/>
  <c r="K95" i="14"/>
  <c r="L95" i="14"/>
  <c r="E110" i="14"/>
  <c r="F110" i="14"/>
  <c r="G110" i="14"/>
  <c r="H110" i="14"/>
  <c r="I110" i="14"/>
  <c r="J110" i="14"/>
  <c r="K110" i="14"/>
  <c r="L110" i="14"/>
  <c r="E96" i="14"/>
  <c r="F96" i="14"/>
  <c r="G96" i="14"/>
  <c r="H96" i="14"/>
  <c r="I96" i="14"/>
  <c r="J96" i="14"/>
  <c r="K96" i="14"/>
  <c r="L96" i="14"/>
  <c r="E97" i="14"/>
  <c r="F97" i="14"/>
  <c r="G97" i="14"/>
  <c r="H97" i="14"/>
  <c r="I97" i="14"/>
  <c r="J97" i="14"/>
  <c r="K97" i="14"/>
  <c r="L97" i="14"/>
  <c r="E107" i="14"/>
  <c r="F107" i="14"/>
  <c r="G107" i="14"/>
  <c r="H107" i="14"/>
  <c r="I107" i="14"/>
  <c r="J107" i="14"/>
  <c r="K107" i="14"/>
  <c r="L107" i="14"/>
  <c r="E51" i="14"/>
  <c r="F51" i="14"/>
  <c r="G51" i="14"/>
  <c r="H51" i="14"/>
  <c r="I51" i="14"/>
  <c r="J51" i="14"/>
  <c r="K51" i="14"/>
  <c r="L51" i="14"/>
  <c r="E52" i="14"/>
  <c r="F52" i="14"/>
  <c r="G52" i="14"/>
  <c r="H52" i="14"/>
  <c r="I52" i="14"/>
  <c r="J52" i="14"/>
  <c r="K52" i="14"/>
  <c r="L52" i="14"/>
  <c r="E53" i="14"/>
  <c r="F53" i="14"/>
  <c r="G53" i="14"/>
  <c r="H53" i="14"/>
  <c r="I53" i="14"/>
  <c r="J53" i="14"/>
  <c r="K53" i="14"/>
  <c r="L53" i="14"/>
  <c r="E75" i="14"/>
  <c r="F75" i="14"/>
  <c r="G75" i="14"/>
  <c r="H75" i="14"/>
  <c r="I75" i="14"/>
  <c r="J75" i="14"/>
  <c r="K75" i="14"/>
  <c r="L75" i="14"/>
  <c r="E56" i="14"/>
  <c r="F56" i="14"/>
  <c r="G56" i="14"/>
  <c r="H56" i="14"/>
  <c r="I56" i="14"/>
  <c r="J56" i="14"/>
  <c r="K56" i="14"/>
  <c r="L56" i="14"/>
  <c r="E15" i="14"/>
  <c r="F15" i="14"/>
  <c r="G15" i="14"/>
  <c r="H15" i="14"/>
  <c r="I15" i="14"/>
  <c r="J15" i="14"/>
  <c r="K15" i="14"/>
  <c r="L15" i="14"/>
  <c r="E20" i="14"/>
  <c r="F20" i="14"/>
  <c r="G20" i="14"/>
  <c r="H20" i="14"/>
  <c r="I20" i="14"/>
  <c r="J20" i="14"/>
  <c r="K20" i="14"/>
  <c r="L20" i="14"/>
  <c r="E149" i="14"/>
  <c r="F149" i="14"/>
  <c r="G149" i="14"/>
  <c r="H149" i="14"/>
  <c r="I149" i="14"/>
  <c r="J149" i="14"/>
  <c r="K149" i="14"/>
  <c r="L149" i="14"/>
  <c r="E150" i="14"/>
  <c r="F150" i="14"/>
  <c r="G150" i="14"/>
  <c r="H150" i="14"/>
  <c r="I150" i="14"/>
  <c r="J150" i="14"/>
  <c r="K150" i="14"/>
  <c r="L150" i="14"/>
  <c r="E98" i="14"/>
  <c r="F98" i="14"/>
  <c r="G98" i="14"/>
  <c r="H98" i="14"/>
  <c r="I98" i="14"/>
  <c r="J98" i="14"/>
  <c r="K98" i="14"/>
  <c r="L98" i="14"/>
  <c r="E99" i="14"/>
  <c r="F99" i="14"/>
  <c r="G99" i="14"/>
  <c r="H99" i="14"/>
  <c r="I99" i="14"/>
  <c r="J99" i="14"/>
  <c r="K99" i="14"/>
  <c r="L99" i="14"/>
  <c r="E62" i="14"/>
  <c r="F62" i="14"/>
  <c r="G62" i="14"/>
  <c r="H62" i="14"/>
  <c r="I62" i="14"/>
  <c r="J62" i="14"/>
  <c r="K62" i="14"/>
  <c r="L62" i="14"/>
  <c r="E42" i="14"/>
  <c r="F42" i="14"/>
  <c r="G42" i="14"/>
  <c r="H42" i="14"/>
  <c r="I42" i="14"/>
  <c r="J42" i="14"/>
  <c r="K42" i="14"/>
  <c r="L42" i="14"/>
  <c r="E100" i="14"/>
  <c r="F100" i="14"/>
  <c r="G100" i="14"/>
  <c r="H100" i="14"/>
  <c r="I100" i="14"/>
  <c r="J100" i="14"/>
  <c r="K100" i="14"/>
  <c r="L100" i="14"/>
  <c r="E54" i="14"/>
  <c r="F54" i="14"/>
  <c r="G54" i="14"/>
  <c r="H54" i="14"/>
  <c r="I54" i="14"/>
  <c r="J54" i="14"/>
  <c r="K54" i="14"/>
  <c r="L54" i="14"/>
  <c r="E10" i="14"/>
  <c r="F10" i="14"/>
  <c r="G10" i="14"/>
  <c r="H10" i="14"/>
  <c r="I10" i="14"/>
  <c r="J10" i="14"/>
  <c r="K10" i="14"/>
  <c r="L10" i="14"/>
  <c r="E101" i="14"/>
  <c r="F101" i="14"/>
  <c r="G101" i="14"/>
  <c r="H101" i="14"/>
  <c r="I101" i="14"/>
  <c r="J101" i="14"/>
  <c r="K101" i="14"/>
  <c r="L101" i="14"/>
  <c r="E151" i="14"/>
  <c r="F151" i="14"/>
  <c r="G151" i="14"/>
  <c r="H151" i="14"/>
  <c r="I151" i="14"/>
  <c r="J151" i="14"/>
  <c r="K151" i="14"/>
  <c r="L151" i="14"/>
  <c r="E152" i="14"/>
  <c r="F152" i="14"/>
  <c r="G152" i="14"/>
  <c r="H152" i="14"/>
  <c r="I152" i="14"/>
  <c r="J152" i="14"/>
  <c r="K152" i="14"/>
  <c r="L152" i="14"/>
  <c r="E34" i="14"/>
  <c r="F34" i="14"/>
  <c r="G34" i="14"/>
  <c r="H34" i="14"/>
  <c r="I34" i="14"/>
  <c r="J34" i="14"/>
  <c r="K34" i="14"/>
  <c r="L34" i="14"/>
  <c r="E102" i="14"/>
  <c r="F102" i="14"/>
  <c r="G102" i="14"/>
  <c r="H102" i="14"/>
  <c r="I102" i="14"/>
  <c r="J102" i="14"/>
  <c r="K102" i="14"/>
  <c r="L102" i="14"/>
  <c r="E26" i="14"/>
  <c r="F26" i="14"/>
  <c r="G26" i="14"/>
  <c r="H26" i="14"/>
  <c r="I26" i="14"/>
  <c r="J26" i="14"/>
  <c r="K26" i="14"/>
  <c r="L26" i="14"/>
  <c r="E63" i="14"/>
  <c r="F63" i="14"/>
  <c r="G63" i="14"/>
  <c r="H63" i="14"/>
  <c r="I63" i="14"/>
  <c r="J63" i="14"/>
  <c r="K63" i="14"/>
  <c r="L63" i="14"/>
  <c r="E153" i="14"/>
  <c r="F153" i="14"/>
  <c r="G153" i="14"/>
  <c r="H153" i="14"/>
  <c r="I153" i="14"/>
  <c r="J153" i="14"/>
  <c r="K153" i="14"/>
  <c r="L153" i="14"/>
  <c r="E154" i="14"/>
  <c r="F154" i="14"/>
  <c r="G154" i="14"/>
  <c r="H154" i="14"/>
  <c r="I154" i="14"/>
  <c r="J154" i="14"/>
  <c r="K154" i="14"/>
  <c r="L154" i="14"/>
  <c r="E155" i="14"/>
  <c r="F155" i="14"/>
  <c r="G155" i="14"/>
  <c r="H155" i="14"/>
  <c r="I155" i="14"/>
  <c r="J155" i="14"/>
  <c r="K155" i="14"/>
  <c r="L155" i="14"/>
  <c r="E156" i="14"/>
  <c r="F156" i="14"/>
  <c r="G156" i="14"/>
  <c r="H156" i="14"/>
  <c r="I156" i="14"/>
  <c r="J156" i="14"/>
  <c r="K156" i="14"/>
  <c r="L156" i="14"/>
  <c r="E64" i="14"/>
  <c r="F64" i="14"/>
  <c r="G64" i="14"/>
  <c r="H64" i="14"/>
  <c r="I64" i="14"/>
  <c r="J64" i="14"/>
  <c r="K64" i="14"/>
  <c r="L64" i="14"/>
  <c r="E157" i="14"/>
  <c r="F157" i="14"/>
  <c r="G157" i="14"/>
  <c r="H157" i="14"/>
  <c r="I157" i="14"/>
  <c r="J157" i="14"/>
  <c r="K157" i="14"/>
  <c r="L157" i="14"/>
  <c r="E158" i="14"/>
  <c r="F158" i="14"/>
  <c r="G158" i="14"/>
  <c r="H158" i="14"/>
  <c r="I158" i="14"/>
  <c r="J158" i="14"/>
  <c r="K158" i="14"/>
  <c r="L158" i="14"/>
  <c r="E68" i="14"/>
  <c r="F68" i="14"/>
  <c r="G68" i="14"/>
  <c r="H68" i="14"/>
  <c r="I68" i="14"/>
  <c r="J68" i="14"/>
  <c r="K68" i="14"/>
  <c r="L68" i="14"/>
  <c r="E70" i="14"/>
  <c r="F70" i="14"/>
  <c r="G70" i="14"/>
  <c r="H70" i="14"/>
  <c r="I70" i="14"/>
  <c r="J70" i="14"/>
  <c r="K70" i="14"/>
  <c r="L70" i="14"/>
  <c r="E81" i="14"/>
  <c r="F81" i="14"/>
  <c r="G81" i="14"/>
  <c r="H81" i="14"/>
  <c r="I81" i="14"/>
  <c r="J81" i="14"/>
  <c r="K81" i="14"/>
  <c r="L81" i="14"/>
  <c r="E123" i="14"/>
  <c r="F123" i="14"/>
  <c r="G123" i="14"/>
  <c r="H123" i="14"/>
  <c r="I123" i="14"/>
  <c r="J123" i="14"/>
  <c r="K123" i="14"/>
  <c r="L123" i="14"/>
  <c r="E116" i="14"/>
  <c r="F116" i="14"/>
  <c r="G116" i="14"/>
  <c r="H116" i="14"/>
  <c r="I116" i="14"/>
  <c r="J116" i="14"/>
  <c r="K116" i="14"/>
  <c r="L116" i="14"/>
  <c r="E46" i="14"/>
  <c r="F46" i="14"/>
  <c r="G46" i="14"/>
  <c r="H46" i="14"/>
  <c r="I46" i="14"/>
  <c r="J46" i="14"/>
  <c r="K46" i="14"/>
  <c r="L46" i="14"/>
  <c r="E111" i="14"/>
  <c r="F111" i="14"/>
  <c r="G111" i="14"/>
  <c r="H111" i="14"/>
  <c r="I111" i="14"/>
  <c r="J111" i="14"/>
  <c r="K111" i="14"/>
  <c r="L111" i="14"/>
  <c r="E65" i="14"/>
  <c r="F65" i="14"/>
  <c r="G65" i="14"/>
  <c r="H65" i="14"/>
  <c r="I65" i="14"/>
  <c r="J65" i="14"/>
  <c r="K65" i="14"/>
  <c r="L65" i="14"/>
  <c r="E82" i="14"/>
  <c r="F82" i="14"/>
  <c r="G82" i="14"/>
  <c r="H82" i="14"/>
  <c r="I82" i="14"/>
  <c r="J82" i="14"/>
  <c r="K82" i="14"/>
  <c r="L82" i="14"/>
  <c r="E41" i="14"/>
  <c r="F41" i="14"/>
  <c r="G41" i="14"/>
  <c r="H41" i="14"/>
  <c r="I41" i="14"/>
  <c r="J41" i="14"/>
  <c r="K41" i="14"/>
  <c r="L41" i="14"/>
  <c r="E72" i="14"/>
  <c r="F72" i="14"/>
  <c r="G72" i="14"/>
  <c r="H72" i="14"/>
  <c r="I72" i="14"/>
  <c r="J72" i="14"/>
  <c r="K72" i="14"/>
  <c r="L72" i="14"/>
  <c r="E83" i="14"/>
  <c r="F83" i="14"/>
  <c r="G83" i="14"/>
  <c r="H83" i="14"/>
  <c r="I83" i="14"/>
  <c r="J83" i="14"/>
  <c r="K83" i="14"/>
  <c r="L83" i="14"/>
  <c r="E73" i="14"/>
  <c r="F73" i="14"/>
  <c r="G73" i="14"/>
  <c r="H73" i="14"/>
  <c r="I73" i="14"/>
  <c r="J73" i="14"/>
  <c r="K73" i="14"/>
  <c r="L73" i="14"/>
  <c r="E124" i="14"/>
  <c r="F124" i="14"/>
  <c r="G124" i="14"/>
  <c r="H124" i="14"/>
  <c r="I124" i="14"/>
  <c r="J124" i="14"/>
  <c r="K124" i="14"/>
  <c r="L124" i="14"/>
  <c r="E125" i="14"/>
  <c r="F125" i="14"/>
  <c r="G125" i="14"/>
  <c r="H125" i="14"/>
  <c r="I125" i="14"/>
  <c r="J125" i="14"/>
  <c r="K125" i="14"/>
  <c r="L125" i="14"/>
  <c r="E126" i="14"/>
  <c r="F126" i="14"/>
  <c r="G126" i="14"/>
  <c r="H126" i="14"/>
  <c r="I126" i="14"/>
  <c r="J126" i="14"/>
  <c r="K126" i="14"/>
  <c r="L126" i="14"/>
  <c r="E114" i="14"/>
  <c r="F114" i="14"/>
  <c r="G114" i="14"/>
  <c r="H114" i="14"/>
  <c r="I114" i="14"/>
  <c r="J114" i="14"/>
  <c r="K114" i="14"/>
  <c r="L114" i="14"/>
  <c r="E127" i="14"/>
  <c r="F127" i="14"/>
  <c r="G127" i="14"/>
  <c r="H127" i="14"/>
  <c r="I127" i="14"/>
  <c r="J127" i="14"/>
  <c r="K127" i="14"/>
  <c r="L127" i="14"/>
  <c r="E84" i="14"/>
  <c r="F84" i="14"/>
  <c r="G84" i="14"/>
  <c r="H84" i="14"/>
  <c r="I84" i="14"/>
  <c r="J84" i="14"/>
  <c r="K84" i="14"/>
  <c r="L84" i="14"/>
  <c r="E128" i="14"/>
  <c r="F128" i="14"/>
  <c r="G128" i="14"/>
  <c r="H128" i="14"/>
  <c r="I128" i="14"/>
  <c r="J128" i="14"/>
  <c r="K128" i="14"/>
  <c r="L128" i="14"/>
  <c r="E129" i="14"/>
  <c r="F129" i="14"/>
  <c r="G129" i="14"/>
  <c r="H129" i="14"/>
  <c r="I129" i="14"/>
  <c r="J129" i="14"/>
  <c r="K129" i="14"/>
  <c r="L129" i="14"/>
  <c r="E78" i="14"/>
  <c r="F78" i="14"/>
  <c r="G78" i="14"/>
  <c r="H78" i="14"/>
  <c r="I78" i="14"/>
  <c r="J78" i="14"/>
  <c r="K78" i="14"/>
  <c r="L78" i="14"/>
  <c r="E38" i="14"/>
  <c r="F38" i="14"/>
  <c r="G38" i="14"/>
  <c r="H38" i="14"/>
  <c r="I38" i="14"/>
  <c r="J38" i="14"/>
  <c r="K38" i="14"/>
  <c r="L38" i="14"/>
  <c r="E69" i="14"/>
  <c r="F69" i="14"/>
  <c r="G69" i="14"/>
  <c r="H69" i="14"/>
  <c r="I69" i="14"/>
  <c r="J69" i="14"/>
  <c r="K69" i="14"/>
  <c r="L69" i="14"/>
  <c r="E109" i="14"/>
  <c r="F109" i="14"/>
  <c r="G109" i="14"/>
  <c r="H109" i="14"/>
  <c r="I109" i="14"/>
  <c r="J109" i="14"/>
  <c r="K109" i="14"/>
  <c r="L109" i="14"/>
  <c r="E103" i="14"/>
  <c r="F103" i="14"/>
  <c r="G103" i="14"/>
  <c r="H103" i="14"/>
  <c r="I103" i="14"/>
  <c r="J103" i="14"/>
  <c r="K103" i="14"/>
  <c r="L103" i="14"/>
  <c r="E79" i="14"/>
  <c r="F79" i="14"/>
  <c r="G79" i="14"/>
  <c r="H79" i="14"/>
  <c r="I79" i="14"/>
  <c r="J79" i="14"/>
  <c r="K79" i="14"/>
  <c r="L79" i="14"/>
  <c r="E47" i="14"/>
  <c r="F47" i="14"/>
  <c r="G47" i="14"/>
  <c r="H47" i="14"/>
  <c r="I47" i="14"/>
  <c r="J47" i="14"/>
  <c r="K47" i="14"/>
  <c r="L47" i="14"/>
  <c r="E105" i="14"/>
  <c r="F105" i="14"/>
  <c r="G105" i="14"/>
  <c r="H105" i="14"/>
  <c r="I105" i="14"/>
  <c r="J105" i="14"/>
  <c r="K105" i="14"/>
  <c r="L105" i="14"/>
  <c r="E85" i="14"/>
  <c r="F85" i="14"/>
  <c r="G85" i="14"/>
  <c r="H85" i="14"/>
  <c r="I85" i="14"/>
  <c r="J85" i="14"/>
  <c r="K85" i="14"/>
  <c r="L85" i="14"/>
  <c r="E8" i="14"/>
  <c r="F8" i="14"/>
  <c r="G8" i="14"/>
  <c r="H8" i="14"/>
  <c r="I8" i="14"/>
  <c r="J8" i="14"/>
  <c r="K8" i="14"/>
  <c r="L8" i="14"/>
  <c r="E108" i="14"/>
  <c r="F108" i="14"/>
  <c r="G108" i="14"/>
  <c r="H108" i="14"/>
  <c r="I108" i="14"/>
  <c r="J108" i="14"/>
  <c r="K108" i="14"/>
  <c r="L108" i="14"/>
  <c r="E40" i="14"/>
  <c r="F40" i="14"/>
  <c r="G40" i="14"/>
  <c r="H40" i="14"/>
  <c r="I40" i="14"/>
  <c r="J40" i="14"/>
  <c r="K40" i="14"/>
  <c r="L40" i="14"/>
  <c r="E58" i="14"/>
  <c r="F58" i="14"/>
  <c r="G58" i="14"/>
  <c r="H58" i="14"/>
  <c r="I58" i="14"/>
  <c r="J58" i="14"/>
  <c r="K58" i="14"/>
  <c r="L58" i="14"/>
  <c r="E57" i="14"/>
  <c r="F57" i="14"/>
  <c r="G57" i="14"/>
  <c r="H57" i="14"/>
  <c r="I57" i="14"/>
  <c r="J57" i="14"/>
  <c r="K57" i="14"/>
  <c r="L57" i="14"/>
  <c r="E2" i="14"/>
  <c r="F2" i="14"/>
  <c r="G2" i="14"/>
  <c r="H2" i="14"/>
  <c r="I2" i="14"/>
  <c r="J2" i="14"/>
  <c r="K2" i="14"/>
  <c r="L2" i="14"/>
  <c r="E117" i="14"/>
  <c r="F117" i="14"/>
  <c r="G117" i="14"/>
  <c r="H117" i="14"/>
  <c r="I117" i="14"/>
  <c r="J117" i="14"/>
  <c r="K117" i="14"/>
  <c r="L117" i="14"/>
  <c r="E106" i="14"/>
  <c r="F106" i="14"/>
  <c r="G106" i="14"/>
  <c r="H106" i="14"/>
  <c r="I106" i="14"/>
  <c r="J106" i="14"/>
  <c r="K106" i="14"/>
  <c r="L106" i="14"/>
  <c r="E48" i="14"/>
  <c r="F48" i="14"/>
  <c r="G48" i="14"/>
  <c r="H48" i="14"/>
  <c r="I48" i="14"/>
  <c r="J48" i="14"/>
  <c r="K48" i="14"/>
  <c r="L48" i="14"/>
  <c r="E22" i="14"/>
  <c r="F22" i="14"/>
  <c r="G22" i="14"/>
  <c r="H22" i="14"/>
  <c r="I22" i="14"/>
  <c r="J22" i="14"/>
  <c r="K22" i="14"/>
  <c r="L22" i="14"/>
  <c r="E25" i="14"/>
  <c r="F25" i="14"/>
  <c r="G25" i="14"/>
  <c r="H25" i="14"/>
  <c r="I25" i="14"/>
  <c r="J25" i="14"/>
  <c r="K25" i="14"/>
  <c r="L25" i="14"/>
  <c r="E118" i="14"/>
  <c r="F118" i="14"/>
  <c r="G118" i="14"/>
  <c r="H118" i="14"/>
  <c r="I118" i="14"/>
  <c r="J118" i="14"/>
  <c r="K118" i="14"/>
  <c r="L118" i="14"/>
  <c r="E67" i="14"/>
  <c r="F67" i="14"/>
  <c r="G67" i="14"/>
  <c r="H67" i="14"/>
  <c r="I67" i="14"/>
  <c r="J67" i="14"/>
  <c r="K67" i="14"/>
  <c r="L67" i="14"/>
  <c r="E86" i="14"/>
  <c r="F86" i="14"/>
  <c r="G86" i="14"/>
  <c r="H86" i="14"/>
  <c r="I86" i="14"/>
  <c r="J86" i="14"/>
  <c r="K86" i="14"/>
  <c r="L86" i="14"/>
  <c r="E87" i="14"/>
  <c r="F87" i="14"/>
  <c r="G87" i="14"/>
  <c r="H87" i="14"/>
  <c r="I87" i="14"/>
  <c r="J87" i="14"/>
  <c r="K87" i="14"/>
  <c r="L87" i="14"/>
  <c r="E115" i="14"/>
  <c r="F115" i="14"/>
  <c r="G115" i="14"/>
  <c r="H115" i="14"/>
  <c r="I115" i="14"/>
  <c r="J115" i="14"/>
  <c r="K115" i="14"/>
  <c r="L115" i="14"/>
  <c r="E130" i="14"/>
  <c r="F130" i="14"/>
  <c r="G130" i="14"/>
  <c r="H130" i="14"/>
  <c r="I130" i="14"/>
  <c r="J130" i="14"/>
  <c r="K130" i="14"/>
  <c r="L130" i="14"/>
  <c r="E131" i="14"/>
  <c r="F131" i="14"/>
  <c r="G131" i="14"/>
  <c r="H131" i="14"/>
  <c r="I131" i="14"/>
  <c r="J131" i="14"/>
  <c r="K131" i="14"/>
  <c r="L131" i="14"/>
  <c r="E119" i="14"/>
  <c r="F119" i="14"/>
  <c r="G119" i="14"/>
  <c r="H119" i="14"/>
  <c r="I119" i="14"/>
  <c r="J119" i="14"/>
  <c r="K119" i="14"/>
  <c r="L119" i="14"/>
  <c r="E71" i="14"/>
  <c r="F71" i="14"/>
  <c r="G71" i="14"/>
  <c r="H71" i="14"/>
  <c r="I71" i="14"/>
  <c r="J71" i="14"/>
  <c r="K71" i="14"/>
  <c r="L71" i="14"/>
  <c r="E120" i="14"/>
  <c r="F120" i="14"/>
  <c r="G120" i="14"/>
  <c r="H120" i="14"/>
  <c r="I120" i="14"/>
  <c r="J120" i="14"/>
  <c r="K120" i="14"/>
  <c r="L120" i="14"/>
  <c r="E121" i="14"/>
  <c r="F121" i="14"/>
  <c r="G121" i="14"/>
  <c r="H121" i="14"/>
  <c r="I121" i="14"/>
  <c r="J121" i="14"/>
  <c r="K121" i="14"/>
  <c r="L121" i="14"/>
  <c r="E12" i="14"/>
  <c r="F12" i="14"/>
  <c r="G12" i="14"/>
  <c r="H12" i="14"/>
  <c r="I12" i="14"/>
  <c r="J12" i="14"/>
  <c r="K12" i="14"/>
  <c r="L12" i="14"/>
  <c r="E28" i="14"/>
  <c r="F28" i="14"/>
  <c r="G28" i="14"/>
  <c r="H28" i="14"/>
  <c r="I28" i="14"/>
  <c r="J28" i="14"/>
  <c r="K28" i="14"/>
  <c r="L28" i="14"/>
  <c r="E37" i="14"/>
  <c r="F37" i="14"/>
  <c r="G37" i="14"/>
  <c r="H37" i="14"/>
  <c r="I37" i="14"/>
  <c r="J37" i="14"/>
  <c r="K37" i="14"/>
  <c r="L37" i="14"/>
  <c r="E9" i="14"/>
  <c r="F9" i="14"/>
  <c r="G9" i="14"/>
  <c r="H9" i="14"/>
  <c r="I9" i="14"/>
  <c r="J9" i="14"/>
  <c r="K9" i="14"/>
  <c r="L9" i="14"/>
  <c r="E11" i="14"/>
  <c r="F11" i="14"/>
  <c r="G11" i="14"/>
  <c r="H11" i="14"/>
  <c r="I11" i="14"/>
  <c r="J11" i="14"/>
  <c r="K11" i="14"/>
  <c r="L11" i="14"/>
  <c r="E24" i="14"/>
  <c r="F24" i="14"/>
  <c r="G24" i="14"/>
  <c r="H24" i="14"/>
  <c r="I24" i="14"/>
  <c r="J24" i="14"/>
  <c r="K24" i="14"/>
  <c r="L24" i="14"/>
  <c r="E18" i="14"/>
  <c r="F18" i="14"/>
  <c r="G18" i="14"/>
  <c r="H18" i="14"/>
  <c r="I18" i="14"/>
  <c r="J18" i="14"/>
  <c r="K18" i="14"/>
  <c r="L18" i="14"/>
  <c r="E16" i="14"/>
  <c r="F16" i="14"/>
  <c r="G16" i="14"/>
  <c r="H16" i="14"/>
  <c r="I16" i="14"/>
  <c r="J16" i="14"/>
  <c r="K16" i="14"/>
  <c r="L16" i="14"/>
  <c r="E112" i="14"/>
  <c r="F112" i="14"/>
  <c r="G112" i="14"/>
  <c r="H112" i="14"/>
  <c r="I112" i="14"/>
  <c r="J112" i="14"/>
  <c r="K112" i="14"/>
  <c r="L112" i="14"/>
  <c r="E23" i="14"/>
  <c r="F23" i="14"/>
  <c r="G23" i="14"/>
  <c r="H23" i="14"/>
  <c r="I23" i="14"/>
  <c r="J23" i="14"/>
  <c r="K23" i="14"/>
  <c r="L23" i="14"/>
  <c r="E122" i="14"/>
  <c r="F122" i="14"/>
  <c r="G122" i="14"/>
  <c r="H122" i="14"/>
  <c r="I122" i="14"/>
  <c r="J122" i="14"/>
  <c r="K122" i="14"/>
  <c r="L122" i="14"/>
  <c r="E5" i="14"/>
  <c r="F5" i="14"/>
  <c r="G5" i="14"/>
  <c r="H5" i="14"/>
  <c r="I5" i="14"/>
  <c r="J5" i="14"/>
  <c r="K5" i="14"/>
  <c r="L5" i="14"/>
  <c r="G80" i="14"/>
  <c r="H80" i="14"/>
  <c r="I80" i="14"/>
  <c r="J80" i="14"/>
  <c r="K80" i="14"/>
  <c r="L80" i="14"/>
  <c r="E80" i="14"/>
  <c r="F80" i="14"/>
  <c r="AC15" i="14" a="1"/>
  <c r="AC15" i="14" s="1"/>
  <c r="AC107" i="14" a="1"/>
  <c r="AC107" i="14" s="1"/>
  <c r="D68" i="14"/>
  <c r="D94" i="14"/>
  <c r="D76" i="14"/>
  <c r="D70" i="14"/>
  <c r="D88" i="14"/>
  <c r="D98" i="14"/>
  <c r="D92" i="14"/>
  <c r="D81" i="14"/>
  <c r="D107" i="14"/>
  <c r="D15" i="14"/>
  <c r="D20" i="14"/>
  <c r="D123" i="14"/>
  <c r="D132" i="14"/>
  <c r="D116" i="14"/>
  <c r="D46" i="14"/>
  <c r="D141" i="14"/>
  <c r="D59" i="14"/>
  <c r="D111" i="14"/>
  <c r="D43" i="14"/>
  <c r="D65" i="14"/>
  <c r="D21" i="14"/>
  <c r="D82" i="14"/>
  <c r="D4" i="14"/>
  <c r="D41" i="14"/>
  <c r="D72" i="14"/>
  <c r="D83" i="14"/>
  <c r="D73" i="14"/>
  <c r="D149" i="14"/>
  <c r="D124" i="14"/>
  <c r="D125" i="14"/>
  <c r="D95" i="14"/>
  <c r="D153" i="14"/>
  <c r="D154" i="14"/>
  <c r="D126" i="14"/>
  <c r="D51" i="14"/>
  <c r="D114" i="14"/>
  <c r="D127" i="14"/>
  <c r="D84" i="14"/>
  <c r="D133" i="14"/>
  <c r="D134" i="14"/>
  <c r="D50" i="14"/>
  <c r="D128" i="14"/>
  <c r="D135" i="14"/>
  <c r="D61" i="14"/>
  <c r="D129" i="14"/>
  <c r="D78" i="14"/>
  <c r="D99" i="14"/>
  <c r="D38" i="14"/>
  <c r="D69" i="14"/>
  <c r="D109" i="14"/>
  <c r="D103" i="14"/>
  <c r="D79" i="14"/>
  <c r="D47" i="14"/>
  <c r="D89" i="14"/>
  <c r="D105" i="14"/>
  <c r="D85" i="14"/>
  <c r="D104" i="14"/>
  <c r="D157" i="14"/>
  <c r="D8" i="14"/>
  <c r="D7" i="14"/>
  <c r="D35" i="14"/>
  <c r="D108" i="14"/>
  <c r="D40" i="14"/>
  <c r="D58" i="14"/>
  <c r="D57" i="14"/>
  <c r="D3" i="14"/>
  <c r="D2" i="14"/>
  <c r="D66" i="14"/>
  <c r="D29" i="14"/>
  <c r="D147" i="14"/>
  <c r="D138" i="14"/>
  <c r="D52" i="14"/>
  <c r="D60" i="14"/>
  <c r="D32" i="14"/>
  <c r="D62" i="14"/>
  <c r="D34" i="14"/>
  <c r="D117" i="14"/>
  <c r="D110" i="14"/>
  <c r="D36" i="14"/>
  <c r="D106" i="14"/>
  <c r="D55" i="14"/>
  <c r="D42" i="14"/>
  <c r="D139" i="14"/>
  <c r="D136" i="14"/>
  <c r="D48" i="14"/>
  <c r="D155" i="14"/>
  <c r="D22" i="14"/>
  <c r="D156" i="14"/>
  <c r="D137" i="14"/>
  <c r="D25" i="14"/>
  <c r="D19" i="14"/>
  <c r="D148" i="14"/>
  <c r="D14" i="14"/>
  <c r="D90" i="14"/>
  <c r="D118" i="14"/>
  <c r="D45" i="14"/>
  <c r="D77" i="14"/>
  <c r="D67" i="14"/>
  <c r="D86" i="14"/>
  <c r="D54" i="14"/>
  <c r="D142" i="14"/>
  <c r="D49" i="14"/>
  <c r="D44" i="14"/>
  <c r="D87" i="14"/>
  <c r="D115" i="14"/>
  <c r="D30" i="14"/>
  <c r="D143" i="14"/>
  <c r="D53" i="14"/>
  <c r="D130" i="14"/>
  <c r="D39" i="14"/>
  <c r="D96" i="14"/>
  <c r="D158" i="14"/>
  <c r="D140" i="14"/>
  <c r="D131" i="14"/>
  <c r="D63" i="14"/>
  <c r="D100" i="14"/>
  <c r="D102" i="14"/>
  <c r="D151" i="14"/>
  <c r="D101" i="14"/>
  <c r="D17" i="14"/>
  <c r="D144" i="14"/>
  <c r="D74" i="14"/>
  <c r="D119" i="14"/>
  <c r="D71" i="14"/>
  <c r="D145" i="14"/>
  <c r="D93" i="14"/>
  <c r="D10" i="14"/>
  <c r="D120" i="14"/>
  <c r="D97" i="14"/>
  <c r="D113" i="14"/>
  <c r="D152" i="14"/>
  <c r="D146" i="14"/>
  <c r="D121" i="14"/>
  <c r="D12" i="14"/>
  <c r="D28" i="14"/>
  <c r="D37" i="14"/>
  <c r="D9" i="14"/>
  <c r="D11" i="14"/>
  <c r="D6" i="14"/>
  <c r="D75" i="14"/>
  <c r="D24" i="14"/>
  <c r="D91" i="14"/>
  <c r="D64" i="14"/>
  <c r="D18" i="14"/>
  <c r="D16" i="14"/>
  <c r="D33" i="14"/>
  <c r="D112" i="14"/>
  <c r="D31" i="14"/>
  <c r="D23" i="14"/>
  <c r="D122" i="14"/>
  <c r="D5" i="14"/>
  <c r="D27" i="14"/>
  <c r="D13" i="14"/>
  <c r="D150" i="14"/>
  <c r="D26" i="14"/>
  <c r="D56" i="14"/>
  <c r="D80" i="14"/>
  <c r="C14" i="11"/>
  <c r="C20" i="11"/>
  <c r="C2" i="11"/>
  <c r="C17" i="11"/>
  <c r="C6" i="11"/>
  <c r="C7" i="11"/>
  <c r="C47" i="11"/>
  <c r="C23" i="11"/>
  <c r="C48" i="11"/>
  <c r="C30" i="11"/>
  <c r="C12" i="11"/>
  <c r="C49" i="11"/>
  <c r="C18" i="11"/>
  <c r="C9" i="11"/>
  <c r="C24" i="11"/>
  <c r="C10" i="11"/>
  <c r="C28" i="11"/>
  <c r="C25" i="11"/>
  <c r="C11" i="11"/>
  <c r="C59" i="11"/>
  <c r="C158" i="11"/>
  <c r="C159" i="11"/>
  <c r="C160" i="11"/>
  <c r="C15" i="11"/>
  <c r="C31" i="11"/>
  <c r="C98" i="11"/>
  <c r="C26" i="11"/>
  <c r="C44" i="11"/>
  <c r="C99" i="11"/>
  <c r="C161" i="11"/>
  <c r="C70" i="11"/>
  <c r="C162" i="11"/>
  <c r="C71" i="11"/>
  <c r="C163" i="11"/>
  <c r="C164" i="11"/>
  <c r="C19" i="11"/>
  <c r="C72" i="11"/>
  <c r="C60" i="11"/>
  <c r="C32" i="11"/>
  <c r="C73" i="11"/>
  <c r="C3" i="11"/>
  <c r="C5" i="11"/>
  <c r="C165" i="11"/>
  <c r="C166" i="11"/>
  <c r="C33" i="11"/>
  <c r="C74" i="11"/>
  <c r="C16" i="11"/>
  <c r="C27" i="11"/>
  <c r="C45" i="11"/>
  <c r="C34" i="11"/>
  <c r="C61" i="11"/>
  <c r="C35" i="11"/>
  <c r="C167" i="11"/>
  <c r="C100" i="11"/>
  <c r="C75" i="11"/>
  <c r="C4" i="11"/>
  <c r="C168" i="11"/>
  <c r="C101" i="11"/>
  <c r="C62" i="11"/>
  <c r="C102" i="11"/>
  <c r="C38" i="11"/>
  <c r="C63" i="11"/>
  <c r="C169" i="11"/>
  <c r="C170" i="11"/>
  <c r="C103" i="11"/>
  <c r="C76" i="11"/>
  <c r="C39" i="11"/>
  <c r="C104" i="11"/>
  <c r="C21" i="11"/>
  <c r="C8" i="11"/>
  <c r="C13" i="11"/>
  <c r="C36" i="11"/>
  <c r="C50" i="11"/>
  <c r="C51" i="11"/>
  <c r="C77" i="11"/>
  <c r="C105" i="11"/>
  <c r="C171" i="11"/>
  <c r="C22" i="11"/>
  <c r="C106" i="11"/>
  <c r="C172" i="11"/>
  <c r="C29" i="11"/>
  <c r="C64" i="11"/>
  <c r="C173" i="11"/>
  <c r="C107" i="11"/>
  <c r="C52" i="11"/>
  <c r="C174" i="11"/>
  <c r="C175" i="11"/>
  <c r="C108" i="11"/>
  <c r="C53" i="11"/>
  <c r="C78" i="11"/>
  <c r="C176" i="11"/>
  <c r="C177" i="11"/>
  <c r="C178" i="11"/>
  <c r="C179" i="11"/>
  <c r="C79" i="11"/>
  <c r="C80" i="11"/>
  <c r="C109" i="11"/>
  <c r="C180" i="11"/>
  <c r="C110" i="11"/>
  <c r="C181" i="11"/>
  <c r="C46" i="11"/>
  <c r="C182" i="11"/>
  <c r="C65" i="11"/>
  <c r="C66" i="11"/>
  <c r="C183" i="11"/>
  <c r="C81" i="11"/>
  <c r="C184" i="11"/>
  <c r="C185" i="11"/>
  <c r="C82" i="11"/>
  <c r="C111" i="11"/>
  <c r="C83" i="11"/>
  <c r="C112" i="11"/>
  <c r="C113" i="11"/>
  <c r="C186" i="11"/>
  <c r="C187" i="11"/>
  <c r="C114" i="11"/>
  <c r="C54" i="11"/>
  <c r="C55" i="11"/>
  <c r="C40" i="11"/>
  <c r="C41" i="11"/>
  <c r="C188" i="11"/>
  <c r="C189" i="11"/>
  <c r="C190" i="11"/>
  <c r="C115" i="11"/>
  <c r="C191" i="11"/>
  <c r="C192" i="11"/>
  <c r="C193" i="11"/>
  <c r="C116" i="11"/>
  <c r="C194" i="11"/>
  <c r="C195" i="11"/>
  <c r="C117" i="11"/>
  <c r="C56" i="11"/>
  <c r="C84" i="11"/>
  <c r="C118" i="11"/>
  <c r="C196" i="11"/>
  <c r="C119" i="11"/>
  <c r="C197" i="11"/>
  <c r="C120" i="11"/>
  <c r="C198" i="11"/>
  <c r="C42" i="11"/>
  <c r="C121" i="11"/>
  <c r="C199" i="11"/>
  <c r="C85" i="11"/>
  <c r="C67" i="11"/>
  <c r="C43" i="11"/>
  <c r="C122" i="11"/>
  <c r="C200" i="11"/>
  <c r="C57" i="11"/>
  <c r="C201" i="11"/>
  <c r="C123" i="11"/>
  <c r="C202" i="11"/>
  <c r="C124" i="11"/>
  <c r="C203" i="11"/>
  <c r="C125" i="11"/>
  <c r="C204" i="11"/>
  <c r="C205" i="11"/>
  <c r="C206" i="11"/>
  <c r="C86" i="11"/>
  <c r="C87" i="11"/>
  <c r="C126" i="11"/>
  <c r="C68" i="11"/>
  <c r="C69" i="11"/>
  <c r="C88" i="11"/>
  <c r="C207" i="11"/>
  <c r="C208" i="11"/>
  <c r="C209" i="11"/>
  <c r="C127" i="11"/>
  <c r="C210" i="11"/>
  <c r="C128" i="11"/>
  <c r="C129" i="11"/>
  <c r="C89" i="11"/>
  <c r="C130" i="11"/>
  <c r="C131" i="11"/>
  <c r="C132" i="11"/>
  <c r="C211" i="11"/>
  <c r="C212" i="11"/>
  <c r="C213" i="11"/>
  <c r="C214" i="11"/>
  <c r="C215" i="11"/>
  <c r="C90" i="11"/>
  <c r="C216" i="11"/>
  <c r="C217" i="11"/>
  <c r="C218" i="11"/>
  <c r="C219" i="11"/>
  <c r="C220" i="11"/>
  <c r="C221" i="11"/>
  <c r="C222" i="11"/>
  <c r="C133" i="11"/>
  <c r="C223" i="11"/>
  <c r="C224" i="11"/>
  <c r="C58" i="11"/>
  <c r="C225" i="11"/>
  <c r="C134" i="11"/>
  <c r="C91" i="11"/>
  <c r="C226" i="11"/>
  <c r="C227" i="11"/>
  <c r="C228" i="11"/>
  <c r="C229" i="11"/>
  <c r="C230" i="11"/>
  <c r="C231" i="11"/>
  <c r="C135" i="11"/>
  <c r="C232" i="11"/>
  <c r="C233" i="11"/>
  <c r="C234" i="11"/>
  <c r="C235" i="11"/>
  <c r="C136" i="11"/>
  <c r="C92" i="11"/>
  <c r="C236" i="11"/>
  <c r="C93" i="11"/>
  <c r="C137" i="11"/>
  <c r="C138" i="11"/>
  <c r="C237" i="11"/>
  <c r="C238" i="11"/>
  <c r="C139" i="11"/>
  <c r="C239" i="11"/>
  <c r="C240" i="11"/>
  <c r="C140" i="11"/>
  <c r="C241" i="11"/>
  <c r="C242" i="11"/>
  <c r="C94" i="11"/>
  <c r="C243" i="11"/>
  <c r="C141" i="11"/>
  <c r="C244" i="11"/>
  <c r="C245" i="11"/>
  <c r="C246" i="11"/>
  <c r="C247" i="11"/>
  <c r="C248" i="11"/>
  <c r="C249" i="11"/>
  <c r="C250" i="11"/>
  <c r="C142" i="11"/>
  <c r="C251" i="11"/>
  <c r="C252" i="11"/>
  <c r="C253" i="11"/>
  <c r="C254" i="11"/>
  <c r="C255" i="11"/>
  <c r="C256" i="11"/>
  <c r="C143" i="11"/>
  <c r="C257" i="11"/>
  <c r="C258" i="11"/>
  <c r="C259" i="11"/>
  <c r="C260" i="11"/>
  <c r="C261" i="11"/>
  <c r="C144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95" i="11"/>
  <c r="C282" i="11"/>
  <c r="C283" i="11"/>
  <c r="C284" i="11"/>
  <c r="C145" i="11"/>
  <c r="C146" i="11"/>
  <c r="C285" i="11"/>
  <c r="C286" i="11"/>
  <c r="C287" i="11"/>
  <c r="C147" i="11"/>
  <c r="C288" i="11"/>
  <c r="C289" i="11"/>
  <c r="C290" i="11"/>
  <c r="C148" i="11"/>
  <c r="C291" i="11"/>
  <c r="C292" i="11"/>
  <c r="C293" i="11"/>
  <c r="C149" i="11"/>
  <c r="C294" i="11"/>
  <c r="C295" i="11"/>
  <c r="C296" i="11"/>
  <c r="C297" i="11"/>
  <c r="C298" i="11"/>
  <c r="C299" i="11"/>
  <c r="C300" i="11"/>
  <c r="C301" i="11"/>
  <c r="C302" i="11"/>
  <c r="C303" i="11"/>
  <c r="C150" i="11"/>
  <c r="C304" i="11"/>
  <c r="C305" i="11"/>
  <c r="C306" i="11"/>
  <c r="C307" i="11"/>
  <c r="C308" i="11"/>
  <c r="C309" i="11"/>
  <c r="C310" i="11"/>
  <c r="C311" i="11"/>
  <c r="C312" i="11"/>
  <c r="C96" i="11"/>
  <c r="C313" i="11"/>
  <c r="C314" i="11"/>
  <c r="C315" i="11"/>
  <c r="C316" i="11"/>
  <c r="C317" i="11"/>
  <c r="C151" i="11"/>
  <c r="C318" i="11"/>
  <c r="C319" i="11"/>
  <c r="C152" i="11"/>
  <c r="C320" i="11"/>
  <c r="C321" i="11"/>
  <c r="C322" i="11"/>
  <c r="C323" i="11"/>
  <c r="C153" i="11"/>
  <c r="C324" i="11"/>
  <c r="C325" i="11"/>
  <c r="C326" i="11"/>
  <c r="C327" i="11"/>
  <c r="C328" i="11"/>
  <c r="C329" i="11"/>
  <c r="C97" i="11"/>
  <c r="C154" i="11"/>
  <c r="C330" i="11"/>
  <c r="C331" i="11"/>
  <c r="C332" i="11"/>
  <c r="C155" i="11"/>
  <c r="C156" i="11"/>
  <c r="C157" i="11"/>
  <c r="C333" i="11"/>
  <c r="C334" i="11"/>
  <c r="C335" i="11"/>
  <c r="C336" i="11"/>
  <c r="C337" i="11"/>
  <c r="C37" i="11"/>
  <c r="R3" i="5"/>
  <c r="R4" i="5"/>
  <c r="R5" i="5"/>
  <c r="R6" i="5"/>
  <c r="R7" i="5"/>
  <c r="R8" i="5"/>
  <c r="R9" i="5"/>
  <c r="R13" i="5"/>
  <c r="R10" i="5"/>
  <c r="R11" i="5"/>
  <c r="R12" i="5"/>
  <c r="R14" i="5"/>
  <c r="R15" i="5"/>
  <c r="R16" i="5"/>
  <c r="R17" i="5"/>
  <c r="R18" i="5"/>
  <c r="R20" i="5"/>
  <c r="R19" i="5"/>
  <c r="R21" i="5"/>
  <c r="R22" i="5"/>
  <c r="R23" i="5"/>
  <c r="R24" i="5"/>
  <c r="R25" i="5"/>
  <c r="R27" i="5"/>
  <c r="R26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K49" i="5"/>
  <c r="R2" i="5"/>
  <c r="W33" i="3"/>
  <c r="W34" i="3"/>
  <c r="W35" i="3"/>
  <c r="W36" i="3"/>
  <c r="W37" i="3"/>
  <c r="W38" i="3"/>
  <c r="W39" i="3"/>
  <c r="W40" i="3"/>
  <c r="W41" i="3"/>
  <c r="W42" i="3"/>
  <c r="W43" i="3"/>
  <c r="W44" i="3"/>
  <c r="W19" i="3"/>
  <c r="W20" i="3"/>
  <c r="W21" i="3"/>
  <c r="W22" i="3"/>
  <c r="W23" i="3"/>
  <c r="W54" i="3"/>
  <c r="W55" i="3"/>
  <c r="W56" i="3"/>
  <c r="W57" i="3"/>
  <c r="W13" i="3"/>
  <c r="W14" i="3"/>
  <c r="W15" i="3"/>
  <c r="W16" i="3"/>
  <c r="W17" i="3"/>
  <c r="W18" i="3"/>
  <c r="W24" i="3"/>
  <c r="W25" i="3"/>
  <c r="W26" i="3"/>
  <c r="W27" i="3"/>
  <c r="W28" i="3"/>
  <c r="W45" i="3"/>
  <c r="W46" i="3"/>
  <c r="W47" i="3"/>
  <c r="W48" i="3"/>
  <c r="W49" i="3"/>
  <c r="W50" i="3"/>
  <c r="W51" i="3"/>
  <c r="W52" i="3"/>
  <c r="W53" i="3"/>
  <c r="W4" i="3"/>
  <c r="W2" i="3"/>
  <c r="W3" i="3"/>
  <c r="W58" i="3"/>
  <c r="W5" i="3"/>
  <c r="W6" i="3"/>
  <c r="W7" i="3"/>
  <c r="W8" i="3"/>
  <c r="W9" i="3"/>
  <c r="W10" i="3"/>
  <c r="W11" i="3"/>
  <c r="W12" i="3"/>
  <c r="W31" i="3"/>
  <c r="W32" i="3"/>
  <c r="W30" i="3"/>
  <c r="W29" i="3"/>
  <c r="C93" i="14" l="1"/>
  <c r="C17" i="14"/>
  <c r="C131" i="14"/>
  <c r="C53" i="14"/>
  <c r="C44" i="14"/>
  <c r="C77" i="14"/>
  <c r="C19" i="14"/>
  <c r="C48" i="14"/>
  <c r="C36" i="14"/>
  <c r="C60" i="14"/>
  <c r="C2" i="14"/>
  <c r="C35" i="14"/>
  <c r="C105" i="14"/>
  <c r="C69" i="14"/>
  <c r="C135" i="14"/>
  <c r="C127" i="14"/>
  <c r="C95" i="14"/>
  <c r="C72" i="14"/>
  <c r="C43" i="14"/>
  <c r="C132" i="14"/>
  <c r="C92" i="14"/>
  <c r="C68" i="14"/>
  <c r="C150" i="14"/>
  <c r="C31" i="14"/>
  <c r="C91" i="14"/>
  <c r="C37" i="14"/>
  <c r="C152" i="14"/>
  <c r="C41" i="14"/>
  <c r="C27" i="14"/>
  <c r="C33" i="14"/>
  <c r="C75" i="14"/>
  <c r="C12" i="14"/>
  <c r="C97" i="14"/>
  <c r="C71" i="14"/>
  <c r="C151" i="14"/>
  <c r="C158" i="14"/>
  <c r="C142" i="14"/>
  <c r="C118" i="14"/>
  <c r="C137" i="14"/>
  <c r="C139" i="14"/>
  <c r="C117" i="14"/>
  <c r="C138" i="14"/>
  <c r="C57" i="14"/>
  <c r="C8" i="14"/>
  <c r="C47" i="14"/>
  <c r="C99" i="14"/>
  <c r="C50" i="14"/>
  <c r="C51" i="14"/>
  <c r="C124" i="14"/>
  <c r="C4" i="14"/>
  <c r="C59" i="14"/>
  <c r="C20" i="14"/>
  <c r="C88" i="14"/>
  <c r="C80" i="14"/>
  <c r="C5" i="14"/>
  <c r="C16" i="14"/>
  <c r="C6" i="14"/>
  <c r="C121" i="14"/>
  <c r="C120" i="14"/>
  <c r="C119" i="14"/>
  <c r="C102" i="14"/>
  <c r="C96" i="14"/>
  <c r="C30" i="14"/>
  <c r="C54" i="14"/>
  <c r="C90" i="14"/>
  <c r="C156" i="14"/>
  <c r="C42" i="14"/>
  <c r="C34" i="14"/>
  <c r="C147" i="14"/>
  <c r="C58" i="14"/>
  <c r="C157" i="14"/>
  <c r="C79" i="14"/>
  <c r="C78" i="14"/>
  <c r="C134" i="14"/>
  <c r="C126" i="14"/>
  <c r="C149" i="14"/>
  <c r="C82" i="14"/>
  <c r="C141" i="14"/>
  <c r="C15" i="14"/>
  <c r="C70" i="14"/>
  <c r="C13" i="14"/>
  <c r="C112" i="14"/>
  <c r="C24" i="14"/>
  <c r="C28" i="14"/>
  <c r="C113" i="14"/>
  <c r="C145" i="14"/>
  <c r="C101" i="14"/>
  <c r="C140" i="14"/>
  <c r="C143" i="14"/>
  <c r="C49" i="14"/>
  <c r="C45" i="14"/>
  <c r="C25" i="14"/>
  <c r="C136" i="14"/>
  <c r="C110" i="14"/>
  <c r="C52" i="14"/>
  <c r="C3" i="14"/>
  <c r="C7" i="14"/>
  <c r="C89" i="14"/>
  <c r="C38" i="14"/>
  <c r="C128" i="14"/>
  <c r="C114" i="14"/>
  <c r="C125" i="14"/>
  <c r="C111" i="14"/>
  <c r="C123" i="14"/>
  <c r="C98" i="14"/>
  <c r="C56" i="14"/>
  <c r="C122" i="14"/>
  <c r="C18" i="14"/>
  <c r="C11" i="14"/>
  <c r="C10" i="14"/>
  <c r="C74" i="14"/>
  <c r="C100" i="14"/>
  <c r="C39" i="14"/>
  <c r="C115" i="14"/>
  <c r="C86" i="14"/>
  <c r="C14" i="14"/>
  <c r="C22" i="14"/>
  <c r="C55" i="14"/>
  <c r="C62" i="14"/>
  <c r="C29" i="14"/>
  <c r="C40" i="14"/>
  <c r="C104" i="14"/>
  <c r="C103" i="14"/>
  <c r="C129" i="14"/>
  <c r="C133" i="14"/>
  <c r="C154" i="14"/>
  <c r="C73" i="14"/>
  <c r="C21" i="14"/>
  <c r="C46" i="14"/>
  <c r="C107" i="14"/>
  <c r="C76" i="14"/>
  <c r="C26" i="14"/>
  <c r="C23" i="14"/>
  <c r="C64" i="14"/>
  <c r="C9" i="14"/>
  <c r="C146" i="14"/>
  <c r="C144" i="14"/>
  <c r="C63" i="14"/>
  <c r="C130" i="14"/>
  <c r="C87" i="14"/>
  <c r="C67" i="14"/>
  <c r="C148" i="14"/>
  <c r="C155" i="14"/>
  <c r="C106" i="14"/>
  <c r="C32" i="14"/>
  <c r="C66" i="14"/>
  <c r="C108" i="14"/>
  <c r="C85" i="14"/>
  <c r="C109" i="14"/>
  <c r="C61" i="14"/>
  <c r="C84" i="14"/>
  <c r="C153" i="14"/>
  <c r="C83" i="14"/>
  <c r="C65" i="14"/>
  <c r="C116" i="14"/>
  <c r="C81" i="14"/>
  <c r="C94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<sst xmlns="http://schemas.openxmlformats.org/spreadsheetml/2006/main" count="10745" uniqueCount="2674">
  <si>
    <t>药</t>
    <phoneticPr fontId="1" type="noConversion"/>
  </si>
  <si>
    <t>攻下</t>
    <phoneticPr fontId="1" type="noConversion"/>
  </si>
  <si>
    <t>番泻叶</t>
    <phoneticPr fontId="1" type="noConversion"/>
  </si>
  <si>
    <t>芦荟</t>
    <phoneticPr fontId="1" type="noConversion"/>
  </si>
  <si>
    <t>芒硝</t>
    <phoneticPr fontId="1" type="noConversion"/>
  </si>
  <si>
    <t>大黄</t>
    <phoneticPr fontId="1" type="noConversion"/>
  </si>
  <si>
    <t>润下</t>
    <phoneticPr fontId="1" type="noConversion"/>
  </si>
  <si>
    <t>火麻仁</t>
    <phoneticPr fontId="1" type="noConversion"/>
  </si>
  <si>
    <t>郁李仁</t>
    <phoneticPr fontId="1" type="noConversion"/>
  </si>
  <si>
    <t>松子仁</t>
    <phoneticPr fontId="1" type="noConversion"/>
  </si>
  <si>
    <t>逐水</t>
    <phoneticPr fontId="1" type="noConversion"/>
  </si>
  <si>
    <t>甘遂</t>
    <phoneticPr fontId="1" type="noConversion"/>
  </si>
  <si>
    <t>京大戟</t>
    <phoneticPr fontId="1" type="noConversion"/>
  </si>
  <si>
    <t>芫花</t>
    <phoneticPr fontId="1" type="noConversion"/>
  </si>
  <si>
    <t>牵牛子</t>
    <phoneticPr fontId="1" type="noConversion"/>
  </si>
  <si>
    <t>巴豆</t>
    <phoneticPr fontId="1" type="noConversion"/>
  </si>
  <si>
    <t>细目</t>
    <phoneticPr fontId="1" type="noConversion"/>
  </si>
  <si>
    <t>组</t>
    <phoneticPr fontId="1" type="noConversion"/>
  </si>
  <si>
    <t>功效</t>
    <phoneticPr fontId="1" type="noConversion"/>
  </si>
  <si>
    <t>其他</t>
    <phoneticPr fontId="1" type="noConversion"/>
  </si>
  <si>
    <t>肿 结</t>
    <phoneticPr fontId="1" type="noConversion"/>
  </si>
  <si>
    <t>虫</t>
    <phoneticPr fontId="1" type="noConversion"/>
  </si>
  <si>
    <t>痰</t>
    <phoneticPr fontId="1" type="noConversion"/>
  </si>
  <si>
    <t>应用</t>
    <phoneticPr fontId="1" type="noConversion"/>
  </si>
  <si>
    <t>痰 咽</t>
    <phoneticPr fontId="1" type="noConversion"/>
  </si>
  <si>
    <t>利水</t>
    <phoneticPr fontId="1" type="noConversion"/>
  </si>
  <si>
    <t>润肺</t>
    <phoneticPr fontId="1" type="noConversion"/>
  </si>
  <si>
    <t>肝 虫</t>
    <phoneticPr fontId="1" type="noConversion"/>
  </si>
  <si>
    <t>清肝</t>
    <phoneticPr fontId="1" type="noConversion"/>
  </si>
  <si>
    <t>软坚</t>
    <phoneticPr fontId="1" type="noConversion"/>
  </si>
  <si>
    <t>清热4 泻火 解毒 凉血 祛湿 
退黄 
淤 通经</t>
    <phoneticPr fontId="1" type="noConversion"/>
  </si>
  <si>
    <t>4+2</t>
    <phoneticPr fontId="1" type="noConversion"/>
  </si>
  <si>
    <t>泻下</t>
    <phoneticPr fontId="1" type="noConversion"/>
  </si>
  <si>
    <t>祛风湿</t>
    <phoneticPr fontId="1" type="noConversion"/>
  </si>
  <si>
    <t>风寒湿</t>
    <phoneticPr fontId="1" type="noConversion"/>
  </si>
  <si>
    <t>风热湿</t>
    <phoneticPr fontId="1" type="noConversion"/>
  </si>
  <si>
    <t>筋骨</t>
    <phoneticPr fontId="1" type="noConversion"/>
  </si>
  <si>
    <t>五加皮</t>
    <phoneticPr fontId="1" type="noConversion"/>
  </si>
  <si>
    <t>桑寄生</t>
    <phoneticPr fontId="1" type="noConversion"/>
  </si>
  <si>
    <t>狗脊</t>
    <phoneticPr fontId="1" type="noConversion"/>
  </si>
  <si>
    <t>安胎</t>
    <phoneticPr fontId="1" type="noConversion"/>
  </si>
  <si>
    <t>止血</t>
    <phoneticPr fontId="1" type="noConversion"/>
  </si>
  <si>
    <t>桑枝</t>
    <phoneticPr fontId="1" type="noConversion"/>
  </si>
  <si>
    <t>秦艽</t>
    <phoneticPr fontId="1" type="noConversion"/>
  </si>
  <si>
    <t>豨莶草</t>
    <phoneticPr fontId="1" type="noConversion"/>
  </si>
  <si>
    <t>防己</t>
    <phoneticPr fontId="1" type="noConversion"/>
  </si>
  <si>
    <t>络石藤</t>
    <phoneticPr fontId="1" type="noConversion"/>
  </si>
  <si>
    <t>上肢</t>
    <phoneticPr fontId="1" type="noConversion"/>
  </si>
  <si>
    <t>关节</t>
    <phoneticPr fontId="1" type="noConversion"/>
  </si>
  <si>
    <t>利关节</t>
    <phoneticPr fontId="1" type="noConversion"/>
  </si>
  <si>
    <t>止痛</t>
    <phoneticPr fontId="1" type="noConversion"/>
  </si>
  <si>
    <t>通络</t>
    <phoneticPr fontId="1" type="noConversion"/>
  </si>
  <si>
    <t>麻黄 发 防己 止</t>
    <phoneticPr fontId="1" type="noConversion"/>
  </si>
  <si>
    <t>秦艽 = 胡黄连 + 祛风湿</t>
    <phoneticPr fontId="1" type="noConversion"/>
  </si>
  <si>
    <t>利水 消肿</t>
    <phoneticPr fontId="1" type="noConversion"/>
  </si>
  <si>
    <t>川乌</t>
    <phoneticPr fontId="1" type="noConversion"/>
  </si>
  <si>
    <t>独活</t>
    <phoneticPr fontId="1" type="noConversion"/>
  </si>
  <si>
    <t>威灵仙</t>
    <phoneticPr fontId="1" type="noConversion"/>
  </si>
  <si>
    <t>瓜</t>
    <phoneticPr fontId="1" type="noConversion"/>
  </si>
  <si>
    <t>蕲蛇</t>
    <phoneticPr fontId="1" type="noConversion"/>
  </si>
  <si>
    <t>乌梢蛇</t>
    <phoneticPr fontId="1" type="noConversion"/>
  </si>
  <si>
    <t>青风藤</t>
    <phoneticPr fontId="1" type="noConversion"/>
  </si>
  <si>
    <t>木瓜</t>
    <phoneticPr fontId="1" type="noConversion"/>
  </si>
  <si>
    <t>巫毒仙 挂蛇藤</t>
    <phoneticPr fontId="1" type="noConversion"/>
  </si>
  <si>
    <t>消骨鲠</t>
    <phoneticPr fontId="1" type="noConversion"/>
  </si>
  <si>
    <t>仙风道骨</t>
    <phoneticPr fontId="1" type="noConversion"/>
  </si>
  <si>
    <t>解表</t>
    <phoneticPr fontId="1" type="noConversion"/>
  </si>
  <si>
    <t>温经</t>
    <phoneticPr fontId="1" type="noConversion"/>
  </si>
  <si>
    <t>利尿</t>
    <phoneticPr fontId="1" type="noConversion"/>
  </si>
  <si>
    <t>止痉</t>
    <phoneticPr fontId="1" type="noConversion"/>
  </si>
  <si>
    <t>舒筋活络 和胃化湿</t>
    <phoneticPr fontId="1" type="noConversion"/>
  </si>
  <si>
    <t>胃</t>
    <phoneticPr fontId="1" type="noConversion"/>
  </si>
  <si>
    <t>化湿</t>
    <phoneticPr fontId="1" type="noConversion"/>
  </si>
  <si>
    <t>藿香</t>
    <phoneticPr fontId="1" type="noConversion"/>
  </si>
  <si>
    <t>佩兰</t>
    <phoneticPr fontId="1" type="noConversion"/>
  </si>
  <si>
    <t>苍术</t>
    <phoneticPr fontId="1" type="noConversion"/>
  </si>
  <si>
    <t>厚朴</t>
    <phoneticPr fontId="1" type="noConversion"/>
  </si>
  <si>
    <t>草果</t>
    <phoneticPr fontId="1" type="noConversion"/>
  </si>
  <si>
    <t>白豆蔻</t>
    <phoneticPr fontId="1" type="noConversion"/>
  </si>
  <si>
    <t>砂仁</t>
    <phoneticPr fontId="1" type="noConversion"/>
  </si>
  <si>
    <t>解暑</t>
    <phoneticPr fontId="1" type="noConversion"/>
  </si>
  <si>
    <t>燥湿</t>
    <phoneticPr fontId="1" type="noConversion"/>
  </si>
  <si>
    <t>温中</t>
    <phoneticPr fontId="1" type="noConversion"/>
  </si>
  <si>
    <t>痰 截疟</t>
    <phoneticPr fontId="1" type="noConversion"/>
  </si>
  <si>
    <t>止呕</t>
    <phoneticPr fontId="1" type="noConversion"/>
  </si>
  <si>
    <t>止泻</t>
    <phoneticPr fontId="1" type="noConversion"/>
  </si>
  <si>
    <t>疟呕泄</t>
    <phoneticPr fontId="1" type="noConversion"/>
  </si>
  <si>
    <t>祛风 明目</t>
    <phoneticPr fontId="1" type="noConversion"/>
  </si>
  <si>
    <t>气</t>
    <phoneticPr fontId="1" type="noConversion"/>
  </si>
  <si>
    <t>上下气 除满</t>
    <phoneticPr fontId="1" type="noConversion"/>
  </si>
  <si>
    <t>风</t>
    <phoneticPr fontId="1" type="noConversion"/>
  </si>
  <si>
    <t>利水渗湿</t>
    <phoneticPr fontId="1" type="noConversion"/>
  </si>
  <si>
    <t>退黄</t>
    <phoneticPr fontId="1" type="noConversion"/>
  </si>
  <si>
    <t>消肿</t>
    <phoneticPr fontId="1" type="noConversion"/>
  </si>
  <si>
    <t>通淋</t>
    <phoneticPr fontId="1" type="noConversion"/>
  </si>
  <si>
    <t>虎杖</t>
    <phoneticPr fontId="1" type="noConversion"/>
  </si>
  <si>
    <t>茵陈蒿</t>
    <phoneticPr fontId="1" type="noConversion"/>
  </si>
  <si>
    <t>金钱草</t>
    <phoneticPr fontId="1" type="noConversion"/>
  </si>
  <si>
    <t>香加皮</t>
    <phoneticPr fontId="1" type="noConversion"/>
  </si>
  <si>
    <t>冬瓜皮</t>
    <phoneticPr fontId="1" type="noConversion"/>
  </si>
  <si>
    <t>猪苓</t>
    <phoneticPr fontId="1" type="noConversion"/>
  </si>
  <si>
    <t>茯苓</t>
    <phoneticPr fontId="1" type="noConversion"/>
  </si>
  <si>
    <t>薏苡仁</t>
    <phoneticPr fontId="1" type="noConversion"/>
  </si>
  <si>
    <t>皮</t>
    <phoneticPr fontId="1" type="noConversion"/>
  </si>
  <si>
    <t>海金沙</t>
    <phoneticPr fontId="1" type="noConversion"/>
  </si>
  <si>
    <t>石韦</t>
    <phoneticPr fontId="1" type="noConversion"/>
  </si>
  <si>
    <t>萆薢</t>
    <phoneticPr fontId="1" type="noConversion"/>
  </si>
  <si>
    <t>内</t>
    <phoneticPr fontId="1" type="noConversion"/>
  </si>
  <si>
    <t>外</t>
    <phoneticPr fontId="1" type="noConversion"/>
  </si>
  <si>
    <t>妇</t>
    <phoneticPr fontId="1" type="noConversion"/>
  </si>
  <si>
    <t>通草</t>
    <phoneticPr fontId="1" type="noConversion"/>
  </si>
  <si>
    <t>木通</t>
    <phoneticPr fontId="1" type="noConversion"/>
  </si>
  <si>
    <t>瞿麦</t>
    <phoneticPr fontId="1" type="noConversion"/>
  </si>
  <si>
    <t>滑石</t>
    <phoneticPr fontId="1" type="noConversion"/>
  </si>
  <si>
    <t>地肤子</t>
    <phoneticPr fontId="1" type="noConversion"/>
  </si>
  <si>
    <t>萹蓄</t>
    <phoneticPr fontId="1" type="noConversion"/>
  </si>
  <si>
    <t>车前子</t>
    <phoneticPr fontId="1" type="noConversion"/>
  </si>
  <si>
    <t>窍</t>
    <phoneticPr fontId="1" type="noConversion"/>
  </si>
  <si>
    <t>3内外妇儿</t>
    <phoneticPr fontId="1" type="noConversion"/>
  </si>
  <si>
    <t>渗湿</t>
    <phoneticPr fontId="1" type="noConversion"/>
  </si>
  <si>
    <t>泄热</t>
    <phoneticPr fontId="1" type="noConversion"/>
  </si>
  <si>
    <t>健脾</t>
    <phoneticPr fontId="1" type="noConversion"/>
  </si>
  <si>
    <t>痹</t>
    <phoneticPr fontId="1" type="noConversion"/>
  </si>
  <si>
    <t>眼 咽 尿 泻</t>
    <phoneticPr fontId="1" type="noConversion"/>
  </si>
  <si>
    <t>乳</t>
    <phoneticPr fontId="1" type="noConversion"/>
  </si>
  <si>
    <t>乳 经</t>
    <phoneticPr fontId="1" type="noConversion"/>
  </si>
  <si>
    <t>经</t>
    <phoneticPr fontId="1" type="noConversion"/>
  </si>
  <si>
    <t>活血</t>
    <phoneticPr fontId="1" type="noConversion"/>
  </si>
  <si>
    <t>祛风 痹</t>
    <phoneticPr fontId="1" type="noConversion"/>
  </si>
  <si>
    <t>止咳 凉血止血</t>
    <phoneticPr fontId="1" type="noConversion"/>
  </si>
  <si>
    <t>暑 疮</t>
    <phoneticPr fontId="1" type="noConversion"/>
  </si>
  <si>
    <t>清热利湿</t>
    <phoneticPr fontId="1" type="noConversion"/>
  </si>
  <si>
    <t>湿热</t>
    <phoneticPr fontId="1" type="noConversion"/>
  </si>
  <si>
    <t>寒</t>
    <phoneticPr fontId="1" type="noConversion"/>
  </si>
  <si>
    <t>热</t>
    <phoneticPr fontId="1" type="noConversion"/>
  </si>
  <si>
    <t>牵牛花</t>
    <phoneticPr fontId="1" type="noConversion"/>
  </si>
  <si>
    <t>纠结 关节 疼</t>
    <phoneticPr fontId="1" type="noConversion"/>
  </si>
  <si>
    <t>全 退黄 消肿 通淋</t>
    <phoneticPr fontId="1" type="noConversion"/>
  </si>
  <si>
    <t>泽泻</t>
    <phoneticPr fontId="1" type="noConversion"/>
  </si>
  <si>
    <t>安神</t>
    <phoneticPr fontId="1" type="noConversion"/>
  </si>
  <si>
    <t>尿</t>
    <phoneticPr fontId="1" type="noConversion"/>
  </si>
  <si>
    <t>记</t>
    <phoneticPr fontId="1" type="noConversion"/>
  </si>
  <si>
    <t>剂</t>
    <phoneticPr fontId="1" type="noConversion"/>
  </si>
  <si>
    <t>清热</t>
    <phoneticPr fontId="1" type="noConversion"/>
  </si>
  <si>
    <t>泻火</t>
    <phoneticPr fontId="1" type="noConversion"/>
  </si>
  <si>
    <t>虚</t>
    <phoneticPr fontId="1" type="noConversion"/>
  </si>
  <si>
    <t>凉血</t>
  </si>
  <si>
    <t>凉血</t>
    <phoneticPr fontId="1" type="noConversion"/>
  </si>
  <si>
    <t>解毒</t>
    <phoneticPr fontId="1" type="noConversion"/>
  </si>
  <si>
    <t>青蒿</t>
    <phoneticPr fontId="1" type="noConversion"/>
  </si>
  <si>
    <t>白薇</t>
    <phoneticPr fontId="1" type="noConversion"/>
  </si>
  <si>
    <t>地骨皮</t>
    <phoneticPr fontId="1" type="noConversion"/>
  </si>
  <si>
    <t>银柴胡</t>
    <phoneticPr fontId="1" type="noConversion"/>
  </si>
  <si>
    <t>胡黄连</t>
    <phoneticPr fontId="1" type="noConversion"/>
  </si>
  <si>
    <t>生地黄</t>
    <phoneticPr fontId="1" type="noConversion"/>
  </si>
  <si>
    <t>玄参</t>
    <phoneticPr fontId="1" type="noConversion"/>
  </si>
  <si>
    <t>丹皮</t>
    <phoneticPr fontId="1" type="noConversion"/>
  </si>
  <si>
    <t>赤芍</t>
    <phoneticPr fontId="1" type="noConversion"/>
  </si>
  <si>
    <t>紫草</t>
    <phoneticPr fontId="1" type="noConversion"/>
  </si>
  <si>
    <t>水牛角</t>
    <phoneticPr fontId="1" type="noConversion"/>
  </si>
  <si>
    <t>淤</t>
    <phoneticPr fontId="1" type="noConversion"/>
  </si>
  <si>
    <t>毒</t>
    <phoneticPr fontId="1" type="noConversion"/>
  </si>
  <si>
    <t>津</t>
    <phoneticPr fontId="1" type="noConversion"/>
  </si>
  <si>
    <t>黄芩</t>
    <phoneticPr fontId="1" type="noConversion"/>
  </si>
  <si>
    <t>黄连</t>
    <phoneticPr fontId="1" type="noConversion"/>
  </si>
  <si>
    <t>黄柏</t>
    <phoneticPr fontId="1" type="noConversion"/>
  </si>
  <si>
    <t>秦皮</t>
    <phoneticPr fontId="1" type="noConversion"/>
  </si>
  <si>
    <t>白鲜皮</t>
    <phoneticPr fontId="1" type="noConversion"/>
  </si>
  <si>
    <t>龙胆草</t>
    <phoneticPr fontId="1" type="noConversion"/>
  </si>
  <si>
    <t>苦参</t>
    <phoneticPr fontId="1" type="noConversion"/>
  </si>
  <si>
    <t>黄</t>
    <phoneticPr fontId="1" type="noConversion"/>
  </si>
  <si>
    <t>栀子</t>
    <phoneticPr fontId="1" type="noConversion"/>
  </si>
  <si>
    <t>石膏</t>
    <phoneticPr fontId="1" type="noConversion"/>
  </si>
  <si>
    <t>知母</t>
    <phoneticPr fontId="1" type="noConversion"/>
  </si>
  <si>
    <t>十亩</t>
    <phoneticPr fontId="1" type="noConversion"/>
  </si>
  <si>
    <t>明目</t>
    <phoneticPr fontId="1" type="noConversion"/>
  </si>
  <si>
    <t>夏枯草</t>
    <phoneticPr fontId="1" type="noConversion"/>
  </si>
  <si>
    <t>决明子</t>
    <phoneticPr fontId="1" type="noConversion"/>
  </si>
  <si>
    <t>枯结</t>
    <phoneticPr fontId="1" type="noConversion"/>
  </si>
  <si>
    <t>芦根</t>
    <phoneticPr fontId="1" type="noConversion"/>
  </si>
  <si>
    <t>天花粉</t>
    <phoneticPr fontId="1" type="noConversion"/>
  </si>
  <si>
    <t>淡竹叶</t>
    <phoneticPr fontId="1" type="noConversion"/>
  </si>
  <si>
    <t>烦</t>
    <phoneticPr fontId="1" type="noConversion"/>
  </si>
  <si>
    <t>肝</t>
    <phoneticPr fontId="1" type="noConversion"/>
  </si>
  <si>
    <t>血</t>
    <phoneticPr fontId="1" type="noConversion"/>
  </si>
  <si>
    <t>青</t>
    <phoneticPr fontId="1" type="noConversion"/>
  </si>
  <si>
    <t>脸紫</t>
    <phoneticPr fontId="1" type="noConversion"/>
  </si>
  <si>
    <t>咽</t>
    <phoneticPr fontId="1" type="noConversion"/>
  </si>
  <si>
    <t>痢</t>
    <phoneticPr fontId="1" type="noConversion"/>
  </si>
  <si>
    <t>湿</t>
    <phoneticPr fontId="1" type="noConversion"/>
  </si>
  <si>
    <t>痈</t>
    <phoneticPr fontId="1" type="noConversion"/>
  </si>
  <si>
    <t>金银花</t>
    <phoneticPr fontId="1" type="noConversion"/>
  </si>
  <si>
    <t>连翘</t>
    <phoneticPr fontId="1" type="noConversion"/>
  </si>
  <si>
    <t>熊胆</t>
    <phoneticPr fontId="1" type="noConversion"/>
  </si>
  <si>
    <t>野菊花</t>
    <phoneticPr fontId="1" type="noConversion"/>
  </si>
  <si>
    <t>贯众</t>
    <phoneticPr fontId="1" type="noConversion"/>
  </si>
  <si>
    <t>大血藤</t>
    <phoneticPr fontId="1" type="noConversion"/>
  </si>
  <si>
    <t>青黛</t>
    <phoneticPr fontId="1" type="noConversion"/>
  </si>
  <si>
    <t>大青叶</t>
    <phoneticPr fontId="1" type="noConversion"/>
  </si>
  <si>
    <t>穿心莲</t>
    <phoneticPr fontId="1" type="noConversion"/>
  </si>
  <si>
    <t>紫花地丁</t>
    <phoneticPr fontId="1" type="noConversion"/>
  </si>
  <si>
    <t>马勃</t>
    <phoneticPr fontId="1" type="noConversion"/>
  </si>
  <si>
    <t>射干</t>
    <phoneticPr fontId="1" type="noConversion"/>
  </si>
  <si>
    <t>山豆根</t>
    <phoneticPr fontId="1" type="noConversion"/>
  </si>
  <si>
    <t>板蓝根</t>
    <phoneticPr fontId="1" type="noConversion"/>
  </si>
  <si>
    <t>白头翁</t>
    <phoneticPr fontId="1" type="noConversion"/>
  </si>
  <si>
    <t>马齿苋</t>
    <phoneticPr fontId="1" type="noConversion"/>
  </si>
  <si>
    <t>鸦胆子</t>
    <phoneticPr fontId="1" type="noConversion"/>
  </si>
  <si>
    <t>鱼腥草</t>
    <phoneticPr fontId="1" type="noConversion"/>
  </si>
  <si>
    <t>蒲公英</t>
    <phoneticPr fontId="1" type="noConversion"/>
  </si>
  <si>
    <t>白花蛇草</t>
    <phoneticPr fontId="1" type="noConversion"/>
  </si>
  <si>
    <t>土茯苓</t>
    <phoneticPr fontId="1" type="noConversion"/>
  </si>
  <si>
    <t>漏芦</t>
    <phoneticPr fontId="1" type="noConversion"/>
  </si>
  <si>
    <t>山慈菇</t>
    <phoneticPr fontId="1" type="noConversion"/>
  </si>
  <si>
    <t>败酱草</t>
    <phoneticPr fontId="1" type="noConversion"/>
  </si>
  <si>
    <t>动物</t>
    <phoneticPr fontId="1" type="noConversion"/>
  </si>
  <si>
    <t>病理</t>
    <phoneticPr fontId="1" type="noConversion"/>
  </si>
  <si>
    <t>风肝血</t>
    <phoneticPr fontId="1" type="noConversion"/>
  </si>
  <si>
    <t>斑</t>
    <phoneticPr fontId="1" type="noConversion"/>
  </si>
  <si>
    <t>消胀</t>
    <phoneticPr fontId="1" type="noConversion"/>
  </si>
  <si>
    <t>祛风止痛</t>
    <phoneticPr fontId="1" type="noConversion"/>
  </si>
  <si>
    <t>息风止痉</t>
    <phoneticPr fontId="1" type="noConversion"/>
  </si>
  <si>
    <t>肿</t>
    <phoneticPr fontId="1" type="noConversion"/>
  </si>
  <si>
    <t>温里</t>
    <phoneticPr fontId="1" type="noConversion"/>
  </si>
  <si>
    <t>附子</t>
    <phoneticPr fontId="1" type="noConversion"/>
  </si>
  <si>
    <t>肉桂</t>
    <phoneticPr fontId="1" type="noConversion"/>
  </si>
  <si>
    <t>吴茱萸</t>
    <phoneticPr fontId="1" type="noConversion"/>
  </si>
  <si>
    <t>丁香</t>
    <phoneticPr fontId="1" type="noConversion"/>
  </si>
  <si>
    <t>小茴香</t>
    <phoneticPr fontId="1" type="noConversion"/>
  </si>
  <si>
    <t>花椒</t>
    <phoneticPr fontId="1" type="noConversion"/>
  </si>
  <si>
    <t>干姜</t>
    <phoneticPr fontId="1" type="noConversion"/>
  </si>
  <si>
    <t>高良姜</t>
    <phoneticPr fontId="1" type="noConversion"/>
  </si>
  <si>
    <t>散寒止痛</t>
    <phoneticPr fontId="1" type="noConversion"/>
  </si>
  <si>
    <t>补火助阳</t>
    <phoneticPr fontId="1" type="noConversion"/>
  </si>
  <si>
    <t>回阳救逆</t>
    <phoneticPr fontId="1" type="noConversion"/>
  </si>
  <si>
    <t>回 死</t>
    <phoneticPr fontId="1" type="noConversion"/>
  </si>
  <si>
    <t>补 虚</t>
    <phoneticPr fontId="1" type="noConversion"/>
  </si>
  <si>
    <t>痛 痹</t>
    <phoneticPr fontId="1" type="noConversion"/>
  </si>
  <si>
    <t>3止 痛泻呕</t>
    <phoneticPr fontId="1" type="noConversion"/>
  </si>
  <si>
    <t>虫 痒</t>
    <phoneticPr fontId="1" type="noConversion"/>
  </si>
  <si>
    <t>附子 细辛 回阳 化饮</t>
    <phoneticPr fontId="1" type="noConversion"/>
  </si>
  <si>
    <t>香</t>
    <phoneticPr fontId="1" type="noConversion"/>
  </si>
  <si>
    <t>疝</t>
    <phoneticPr fontId="1" type="noConversion"/>
  </si>
  <si>
    <t>姜 温</t>
    <phoneticPr fontId="1" type="noConversion"/>
  </si>
  <si>
    <t>呃逆 阳痿</t>
    <phoneticPr fontId="1" type="noConversion"/>
  </si>
  <si>
    <t>姜</t>
    <phoneticPr fontId="1" type="noConversion"/>
  </si>
  <si>
    <t>椒</t>
    <phoneticPr fontId="1" type="noConversion"/>
  </si>
  <si>
    <t>理气</t>
    <phoneticPr fontId="1" type="noConversion"/>
  </si>
  <si>
    <t>子</t>
    <phoneticPr fontId="1" type="noConversion"/>
  </si>
  <si>
    <t>黑白手</t>
    <phoneticPr fontId="1" type="noConversion"/>
  </si>
  <si>
    <t>檀香</t>
    <phoneticPr fontId="1" type="noConversion"/>
  </si>
  <si>
    <t>香附</t>
    <phoneticPr fontId="1" type="noConversion"/>
  </si>
  <si>
    <t>木香</t>
    <phoneticPr fontId="1" type="noConversion"/>
  </si>
  <si>
    <t>沉香</t>
    <phoneticPr fontId="1" type="noConversion"/>
  </si>
  <si>
    <t>从上到下</t>
    <phoneticPr fontId="1" type="noConversion"/>
  </si>
  <si>
    <t>陈皮</t>
    <phoneticPr fontId="1" type="noConversion"/>
  </si>
  <si>
    <t>青皮</t>
    <phoneticPr fontId="1" type="noConversion"/>
  </si>
  <si>
    <t>大腹皮</t>
    <phoneticPr fontId="1" type="noConversion"/>
  </si>
  <si>
    <t>枳实</t>
    <phoneticPr fontId="1" type="noConversion"/>
  </si>
  <si>
    <t>川楝子</t>
    <phoneticPr fontId="1" type="noConversion"/>
  </si>
  <si>
    <t>荔枝核</t>
    <phoneticPr fontId="1" type="noConversion"/>
  </si>
  <si>
    <t>乌药</t>
    <phoneticPr fontId="1" type="noConversion"/>
  </si>
  <si>
    <t>薤白</t>
    <phoneticPr fontId="1" type="noConversion"/>
  </si>
  <si>
    <t>佛手</t>
    <phoneticPr fontId="1" type="noConversion"/>
  </si>
  <si>
    <t>膻中</t>
    <phoneticPr fontId="1" type="noConversion"/>
  </si>
  <si>
    <t>肋</t>
    <phoneticPr fontId="1" type="noConversion"/>
  </si>
  <si>
    <t>中</t>
    <phoneticPr fontId="1" type="noConversion"/>
  </si>
  <si>
    <t>健脾消食</t>
    <phoneticPr fontId="1" type="noConversion"/>
  </si>
  <si>
    <t>消积滞</t>
    <phoneticPr fontId="1" type="noConversion"/>
  </si>
  <si>
    <t>皮利水</t>
    <phoneticPr fontId="1" type="noConversion"/>
  </si>
  <si>
    <t>宽中</t>
    <phoneticPr fontId="1" type="noConversion"/>
  </si>
  <si>
    <t>痰湿</t>
    <phoneticPr fontId="1" type="noConversion"/>
  </si>
  <si>
    <t>陈皮+青皮</t>
    <phoneticPr fontId="1" type="noConversion"/>
  </si>
  <si>
    <t>散结</t>
    <phoneticPr fontId="1" type="noConversion"/>
  </si>
  <si>
    <t>虫 止痛</t>
    <phoneticPr fontId="1" type="noConversion"/>
  </si>
  <si>
    <t>止痛</t>
  </si>
  <si>
    <t>陈皮+香附</t>
    <phoneticPr fontId="1" type="noConversion"/>
  </si>
  <si>
    <t>痰 肝</t>
    <phoneticPr fontId="1" type="noConversion"/>
  </si>
  <si>
    <t>痢 胸痹</t>
    <phoneticPr fontId="1" type="noConversion"/>
  </si>
  <si>
    <t>和胃止痛</t>
    <phoneticPr fontId="1" type="noConversion"/>
  </si>
  <si>
    <t>消食</t>
    <phoneticPr fontId="1" type="noConversion"/>
  </si>
  <si>
    <t>山楂</t>
    <phoneticPr fontId="1" type="noConversion"/>
  </si>
  <si>
    <t>神曲</t>
    <phoneticPr fontId="1" type="noConversion"/>
  </si>
  <si>
    <t>麦芽</t>
    <phoneticPr fontId="1" type="noConversion"/>
  </si>
  <si>
    <t>莱菔子</t>
    <phoneticPr fontId="1" type="noConversion"/>
  </si>
  <si>
    <t>稻芽</t>
    <phoneticPr fontId="1" type="noConversion"/>
  </si>
  <si>
    <t>鸡内金</t>
    <phoneticPr fontId="1" type="noConversion"/>
  </si>
  <si>
    <t>红</t>
    <phoneticPr fontId="1" type="noConversion"/>
  </si>
  <si>
    <t>紫</t>
    <phoneticPr fontId="1" type="noConversion"/>
  </si>
  <si>
    <t>和胃</t>
    <phoneticPr fontId="1" type="noConversion"/>
  </si>
  <si>
    <t>半夏厚朴汤
苏子降气汤
大承气汤
平胃散</t>
    <phoneticPr fontId="1" type="noConversion"/>
  </si>
  <si>
    <t>草豆沙</t>
    <phoneticPr fontId="1" type="noConversion"/>
  </si>
  <si>
    <t>脓痹</t>
    <phoneticPr fontId="1" type="noConversion"/>
  </si>
  <si>
    <t>淋</t>
    <phoneticPr fontId="1" type="noConversion"/>
  </si>
  <si>
    <t>肺</t>
    <phoneticPr fontId="1" type="noConversion"/>
  </si>
  <si>
    <t>包煎</t>
    <phoneticPr fontId="1" type="noConversion"/>
  </si>
  <si>
    <t>用法</t>
    <phoneticPr fontId="1" type="noConversion"/>
  </si>
  <si>
    <t>大黄 +痰 -凉血</t>
    <phoneticPr fontId="1" type="noConversion"/>
  </si>
  <si>
    <t>红色</t>
    <phoneticPr fontId="1" type="noConversion"/>
  </si>
  <si>
    <t>生麦芽 疏肝 镇肝熄风汤 炒麦芽 回乳</t>
    <phoneticPr fontId="1" type="noConversion"/>
  </si>
  <si>
    <t>气 痰</t>
    <phoneticPr fontId="1" type="noConversion"/>
  </si>
  <si>
    <t>淋 男科</t>
    <phoneticPr fontId="1" type="noConversion"/>
  </si>
  <si>
    <t>驱虫</t>
    <phoneticPr fontId="1" type="noConversion"/>
  </si>
  <si>
    <t>槟榔</t>
    <phoneticPr fontId="1" type="noConversion"/>
  </si>
  <si>
    <t>使君子</t>
    <phoneticPr fontId="1" type="noConversion"/>
  </si>
  <si>
    <t>雷丸</t>
    <phoneticPr fontId="1" type="noConversion"/>
  </si>
  <si>
    <t>榧子</t>
    <phoneticPr fontId="1" type="noConversion"/>
  </si>
  <si>
    <t>苦楝皮</t>
    <phoneticPr fontId="1" type="noConversion"/>
  </si>
  <si>
    <t>水气虫积疟</t>
    <phoneticPr fontId="1" type="noConversion"/>
  </si>
  <si>
    <t>丸</t>
    <phoneticPr fontId="1" type="noConversion"/>
  </si>
  <si>
    <t>呃逆 忌茶</t>
    <phoneticPr fontId="1" type="noConversion"/>
  </si>
  <si>
    <t>唯一不消积 有毒</t>
    <phoneticPr fontId="1" type="noConversion"/>
  </si>
  <si>
    <t>艾叶</t>
    <phoneticPr fontId="1" type="noConversion"/>
  </si>
  <si>
    <t>炮姜</t>
    <phoneticPr fontId="1" type="noConversion"/>
  </si>
  <si>
    <t>调经</t>
    <phoneticPr fontId="1" type="noConversion"/>
  </si>
  <si>
    <t>茜草</t>
    <phoneticPr fontId="1" type="noConversion"/>
  </si>
  <si>
    <t>大类缺收敛</t>
    <phoneticPr fontId="1" type="noConversion"/>
  </si>
  <si>
    <t>化瘀</t>
    <phoneticPr fontId="1" type="noConversion"/>
  </si>
  <si>
    <t>调经要药</t>
    <phoneticPr fontId="1" type="noConversion"/>
  </si>
  <si>
    <t>三七</t>
    <phoneticPr fontId="1" type="noConversion"/>
  </si>
  <si>
    <t>蒲黄</t>
    <phoneticPr fontId="1" type="noConversion"/>
  </si>
  <si>
    <t>降香</t>
    <phoneticPr fontId="1" type="noConversion"/>
  </si>
  <si>
    <t>收敛</t>
    <phoneticPr fontId="1" type="noConversion"/>
  </si>
  <si>
    <t>活血</t>
  </si>
  <si>
    <t>虚寒 安胎 要药</t>
    <phoneticPr fontId="1" type="noConversion"/>
  </si>
  <si>
    <t>棕榈炭</t>
    <phoneticPr fontId="1" type="noConversion"/>
  </si>
  <si>
    <t>血余炭</t>
    <phoneticPr fontId="1" type="noConversion"/>
  </si>
  <si>
    <t>白芨</t>
    <phoneticPr fontId="1" type="noConversion"/>
  </si>
  <si>
    <t>仙鹤草</t>
    <phoneticPr fontId="1" type="noConversion"/>
  </si>
  <si>
    <t>肿 生肌</t>
    <phoneticPr fontId="1" type="noConversion"/>
  </si>
  <si>
    <t>痢 疟 虚</t>
    <phoneticPr fontId="1" type="noConversion"/>
  </si>
  <si>
    <t>止泻 带</t>
    <phoneticPr fontId="1" type="noConversion"/>
  </si>
  <si>
    <t>小蓟</t>
    <phoneticPr fontId="1" type="noConversion"/>
  </si>
  <si>
    <t>大蓟</t>
    <phoneticPr fontId="1" type="noConversion"/>
  </si>
  <si>
    <t>白茅根</t>
    <phoneticPr fontId="1" type="noConversion"/>
  </si>
  <si>
    <t>侧柏叶</t>
    <phoneticPr fontId="1" type="noConversion"/>
  </si>
  <si>
    <t>地榆</t>
    <phoneticPr fontId="1" type="noConversion"/>
  </si>
  <si>
    <t>槐花</t>
    <phoneticPr fontId="1" type="noConversion"/>
  </si>
  <si>
    <t>拥堵急</t>
    <phoneticPr fontId="1" type="noConversion"/>
  </si>
  <si>
    <t>痈毒蓟</t>
    <phoneticPr fontId="1" type="noConversion"/>
  </si>
  <si>
    <t>血淋</t>
    <phoneticPr fontId="1" type="noConversion"/>
  </si>
  <si>
    <t>吐血 血崩</t>
    <phoneticPr fontId="1" type="noConversion"/>
  </si>
  <si>
    <t>散瘀解毒消痈</t>
    <phoneticPr fontId="1" type="noConversion"/>
  </si>
  <si>
    <t>肺尿</t>
    <phoneticPr fontId="1" type="noConversion"/>
  </si>
  <si>
    <t>白 肺 根 尿</t>
    <phoneticPr fontId="1" type="noConversion"/>
  </si>
  <si>
    <t>烫伤</t>
    <phoneticPr fontId="1" type="noConversion"/>
  </si>
  <si>
    <t>白鹤炭</t>
    <phoneticPr fontId="1" type="noConversion"/>
  </si>
  <si>
    <t>植物</t>
    <phoneticPr fontId="1" type="noConversion"/>
  </si>
  <si>
    <t>蓟</t>
  </si>
  <si>
    <t>桂枝</t>
    <phoneticPr fontId="1" type="noConversion"/>
  </si>
  <si>
    <t>生姜</t>
    <phoneticPr fontId="1" type="noConversion"/>
  </si>
  <si>
    <t>紫苏</t>
    <phoneticPr fontId="1" type="noConversion"/>
  </si>
  <si>
    <t>荆芥</t>
    <phoneticPr fontId="1" type="noConversion"/>
  </si>
  <si>
    <t>麻黄</t>
    <phoneticPr fontId="1" type="noConversion"/>
  </si>
  <si>
    <t>香薷</t>
    <phoneticPr fontId="1" type="noConversion"/>
  </si>
  <si>
    <t>藁本</t>
    <phoneticPr fontId="1" type="noConversion"/>
  </si>
  <si>
    <t>羌活</t>
    <phoneticPr fontId="1" type="noConversion"/>
  </si>
  <si>
    <t>防风</t>
    <phoneticPr fontId="1" type="noConversion"/>
  </si>
  <si>
    <t>辛夷</t>
    <phoneticPr fontId="1" type="noConversion"/>
  </si>
  <si>
    <t>苍耳子</t>
    <phoneticPr fontId="1" type="noConversion"/>
  </si>
  <si>
    <t>细辛</t>
    <phoneticPr fontId="1" type="noConversion"/>
  </si>
  <si>
    <t>白芷</t>
    <phoneticPr fontId="1" type="noConversion"/>
  </si>
  <si>
    <t>风湿 痛</t>
    <phoneticPr fontId="1" type="noConversion"/>
  </si>
  <si>
    <t>通鼻窍</t>
    <phoneticPr fontId="1" type="noConversion"/>
  </si>
  <si>
    <t>风湿痛</t>
    <phoneticPr fontId="1" type="noConversion"/>
  </si>
  <si>
    <t>化饮</t>
    <phoneticPr fontId="1" type="noConversion"/>
  </si>
  <si>
    <t>燥湿 脓</t>
    <phoneticPr fontId="1" type="noConversion"/>
  </si>
  <si>
    <t>头</t>
    <phoneticPr fontId="1" type="noConversion"/>
  </si>
  <si>
    <t>上身</t>
    <phoneticPr fontId="1" type="noConversion"/>
  </si>
  <si>
    <t>全身</t>
    <phoneticPr fontId="1" type="noConversion"/>
  </si>
  <si>
    <t>夏之麻黄</t>
    <phoneticPr fontId="1" type="noConversion"/>
  </si>
  <si>
    <t>肺 喘</t>
    <phoneticPr fontId="1" type="noConversion"/>
  </si>
  <si>
    <t>风疹</t>
    <phoneticPr fontId="1" type="noConversion"/>
  </si>
  <si>
    <t>疮</t>
    <phoneticPr fontId="1" type="noConversion"/>
  </si>
  <si>
    <t>麻黄汤 麻杏石甘汤
越婢白术汤 阳和汤</t>
    <phoneticPr fontId="1" type="noConversion"/>
  </si>
  <si>
    <t>痛 痰 心悸</t>
    <phoneticPr fontId="1" type="noConversion"/>
  </si>
  <si>
    <t>表</t>
    <phoneticPr fontId="1" type="noConversion"/>
  </si>
  <si>
    <t>太阳头痛</t>
    <phoneticPr fontId="1" type="noConversion"/>
  </si>
  <si>
    <t>淡豆豉</t>
    <phoneticPr fontId="1" type="noConversion"/>
  </si>
  <si>
    <t>桑叶</t>
    <phoneticPr fontId="1" type="noConversion"/>
  </si>
  <si>
    <t>菊花</t>
    <phoneticPr fontId="1" type="noConversion"/>
  </si>
  <si>
    <t>蔓荆子</t>
    <phoneticPr fontId="1" type="noConversion"/>
  </si>
  <si>
    <t>梳头</t>
    <phoneticPr fontId="1" type="noConversion"/>
  </si>
  <si>
    <t>薄荷</t>
    <phoneticPr fontId="1" type="noConversion"/>
  </si>
  <si>
    <t>牛蒡子</t>
    <phoneticPr fontId="1" type="noConversion"/>
  </si>
  <si>
    <t>蝉蜕</t>
    <phoneticPr fontId="1" type="noConversion"/>
  </si>
  <si>
    <t>肺 痰</t>
    <phoneticPr fontId="1" type="noConversion"/>
  </si>
  <si>
    <t>柴胡</t>
    <phoneticPr fontId="1" type="noConversion"/>
  </si>
  <si>
    <t>升麻</t>
    <phoneticPr fontId="1" type="noConversion"/>
  </si>
  <si>
    <t>葛根</t>
    <phoneticPr fontId="1" type="noConversion"/>
  </si>
  <si>
    <t>升阳</t>
    <phoneticPr fontId="1" type="noConversion"/>
  </si>
  <si>
    <t>疟</t>
    <phoneticPr fontId="1" type="noConversion"/>
  </si>
  <si>
    <t>瘀 尿</t>
    <phoneticPr fontId="1" type="noConversion"/>
  </si>
  <si>
    <t>肿 定痛</t>
    <phoneticPr fontId="1" type="noConversion"/>
  </si>
  <si>
    <t>淋 尿</t>
    <phoneticPr fontId="1" type="noConversion"/>
  </si>
  <si>
    <t>发 痰咳</t>
    <phoneticPr fontId="1" type="noConversion"/>
  </si>
  <si>
    <t>攻毒杀虫</t>
    <phoneticPr fontId="1" type="noConversion"/>
  </si>
  <si>
    <t>黄白黄 虫蜂蟾蛇床</t>
    <phoneticPr fontId="1" type="noConversion"/>
  </si>
  <si>
    <t>收涩</t>
    <phoneticPr fontId="1" type="noConversion"/>
  </si>
  <si>
    <t>固表止汗</t>
    <phoneticPr fontId="1" type="noConversion"/>
  </si>
  <si>
    <t>麦麻根</t>
    <phoneticPr fontId="1" type="noConversion"/>
  </si>
  <si>
    <t>敛肺涩肠</t>
    <phoneticPr fontId="1" type="noConversion"/>
  </si>
  <si>
    <t>肥肠和豆豉5倍美味</t>
    <phoneticPr fontId="1" type="noConversion"/>
  </si>
  <si>
    <t>肺肠诃豆脂倍梅味</t>
    <phoneticPr fontId="1" type="noConversion"/>
  </si>
  <si>
    <t>固精缩尿止带</t>
    <phoneticPr fontId="1" type="noConversion"/>
  </si>
  <si>
    <t>椿蛸止千</t>
    <phoneticPr fontId="1" type="noConversion"/>
  </si>
  <si>
    <t>春宵止千金 固山莲海</t>
    <phoneticPr fontId="1" type="noConversion"/>
  </si>
  <si>
    <t>补虚</t>
    <phoneticPr fontId="1" type="noConversion"/>
  </si>
  <si>
    <t>非常呆憨</t>
    <phoneticPr fontId="1" type="noConversion"/>
  </si>
  <si>
    <t>阴</t>
    <phoneticPr fontId="1" type="noConversion"/>
  </si>
  <si>
    <t>阳</t>
    <phoneticPr fontId="1" type="noConversion"/>
  </si>
  <si>
    <t>参芪煮山药 扁豆草蜜枣</t>
    <phoneticPr fontId="1" type="noConversion"/>
  </si>
  <si>
    <t>冬蛤
仲断</t>
    <phoneticPr fontId="1" type="noConversion"/>
  </si>
  <si>
    <t>拔羊毛吃羊肉 
冻个沙司补益 肺肝脾 
精血 中断</t>
    <phoneticPr fontId="1" type="noConversion"/>
  </si>
  <si>
    <t>四物汤胶乌龙血</t>
    <phoneticPr fontId="1" type="noConversion"/>
  </si>
  <si>
    <t>天竹百脉南北斛精 别汗蒸猪狗</t>
    <phoneticPr fontId="1" type="noConversion"/>
  </si>
  <si>
    <t>憋旱贞诸枸</t>
    <phoneticPr fontId="1" type="noConversion"/>
  </si>
  <si>
    <t>开窍</t>
    <phoneticPr fontId="1" type="noConversion"/>
  </si>
  <si>
    <t>平肝熄风</t>
    <phoneticPr fontId="1" type="noConversion"/>
  </si>
  <si>
    <t>平肝</t>
    <phoneticPr fontId="1" type="noConversion"/>
  </si>
  <si>
    <t>平民带着萝卜刺激母猪</t>
    <phoneticPr fontId="1" type="noConversion"/>
  </si>
  <si>
    <t>平肝 明代赭罗布刺蒺牡珠</t>
    <phoneticPr fontId="1" type="noConversion"/>
  </si>
  <si>
    <t>熄风</t>
  </si>
  <si>
    <t>大小动物有毒无毒植物
牛羊蝎蚣蚯蚕麻藤 珠</t>
    <phoneticPr fontId="1" type="noConversion"/>
  </si>
  <si>
    <t>重镇</t>
    <phoneticPr fontId="1" type="noConversion"/>
  </si>
  <si>
    <t>养心</t>
    <phoneticPr fontId="1" type="noConversion"/>
  </si>
  <si>
    <t>龙虎吃猪</t>
    <phoneticPr fontId="1" type="noConversion"/>
  </si>
  <si>
    <t>化痰止咳平喘</t>
    <phoneticPr fontId="1" type="noConversion"/>
  </si>
  <si>
    <t>止咳</t>
    <phoneticPr fontId="1" type="noConversion"/>
  </si>
  <si>
    <t>喊半天白花钱</t>
    <phoneticPr fontId="1" type="noConversion"/>
  </si>
  <si>
    <t>书信纸百花 桑葶白枇杷</t>
    <phoneticPr fontId="1" type="noConversion"/>
  </si>
  <si>
    <t>苏杏紫</t>
    <phoneticPr fontId="1" type="noConversion"/>
  </si>
  <si>
    <t>牛人鸡王挑一篮花生</t>
    <phoneticPr fontId="1" type="noConversion"/>
  </si>
  <si>
    <t>疗伤</t>
    <phoneticPr fontId="1" type="noConversion"/>
  </si>
  <si>
    <t>土木童不借钱疗伤</t>
    <phoneticPr fontId="1" type="noConversion"/>
  </si>
  <si>
    <t>破血</t>
    <phoneticPr fontId="1" type="noConversion"/>
  </si>
  <si>
    <t>指甲破三术</t>
    <phoneticPr fontId="1" type="noConversion"/>
  </si>
  <si>
    <t>水蛭 三棱 莪术</t>
    <phoneticPr fontId="1" type="noConversion"/>
  </si>
  <si>
    <t>金鱼脸凉</t>
    <phoneticPr fontId="1" type="noConversion"/>
  </si>
  <si>
    <t>地狱剂量 茅厕坏</t>
    <phoneticPr fontId="1" type="noConversion"/>
  </si>
  <si>
    <t>地狱蓟凉 槐</t>
    <phoneticPr fontId="1" type="noConversion"/>
  </si>
  <si>
    <t>仙鹤急收炭</t>
    <phoneticPr fontId="1" type="noConversion"/>
  </si>
  <si>
    <t>痛经颇伤</t>
    <phoneticPr fontId="1" type="noConversion"/>
  </si>
  <si>
    <t>雷君苦练飞虫兵</t>
    <phoneticPr fontId="1" type="noConversion"/>
  </si>
  <si>
    <t>三仙来盗鸡</t>
    <phoneticPr fontId="1" type="noConversion"/>
  </si>
  <si>
    <t>4香3皮3子黑白手</t>
    <phoneticPr fontId="1" type="noConversion"/>
  </si>
  <si>
    <t>贵妇闻酱香猪脚</t>
    <phoneticPr fontId="1" type="noConversion"/>
  </si>
  <si>
    <t>茱</t>
    <phoneticPr fontId="1" type="noConversion"/>
  </si>
  <si>
    <t>猪仔夫人想家种瓜皮</t>
    <phoneticPr fontId="1" type="noConversion"/>
  </si>
  <si>
    <t>泽 仁 香加皮 肿</t>
    <phoneticPr fontId="1" type="noConversion"/>
  </si>
  <si>
    <t>护黄金城</t>
    <phoneticPr fontId="1" type="noConversion"/>
  </si>
  <si>
    <t>统领去碧海试吃华夫饼</t>
    <phoneticPr fontId="1" type="noConversion"/>
  </si>
  <si>
    <t>瞿 萆 石 车 滑 肤 萹</t>
    <phoneticPr fontId="1" type="noConversion"/>
  </si>
  <si>
    <t>后仓配货湿炒豆沙</t>
    <phoneticPr fontId="1" type="noConversion"/>
  </si>
  <si>
    <t>厚苍佩藿 草果 白豆蔻 砂</t>
    <phoneticPr fontId="1" type="noConversion"/>
  </si>
  <si>
    <t>丧家狗</t>
    <phoneticPr fontId="1" type="noConversion"/>
  </si>
  <si>
    <t>巫毒仙刮舌喊疼</t>
    <phoneticPr fontId="1" type="noConversion"/>
  </si>
  <si>
    <t>乌 蛇 藤</t>
    <phoneticPr fontId="1" type="noConversion"/>
  </si>
  <si>
    <t>关节纠结疼</t>
    <phoneticPr fontId="1" type="noConversion"/>
  </si>
  <si>
    <t>上肢 豨莶草 艽 己 藤</t>
    <phoneticPr fontId="1" type="noConversion"/>
  </si>
  <si>
    <t>牵牛花挤碎水痘</t>
    <phoneticPr fontId="1" type="noConversion"/>
  </si>
  <si>
    <t>大小叶下荟</t>
    <phoneticPr fontId="1" type="noConversion"/>
  </si>
  <si>
    <t>荆防姜苏麻桂香
藁白羌活细辛苍</t>
    <phoneticPr fontId="1" type="noConversion"/>
  </si>
  <si>
    <t xml:space="preserve">桑菊漫谈 割生菜 馋和牛 </t>
    <phoneticPr fontId="1" type="noConversion"/>
  </si>
  <si>
    <t>蔓 淡 葛升柴 蝉 荷</t>
    <phoneticPr fontId="1" type="noConversion"/>
  </si>
  <si>
    <t>青白地银胡虚</t>
    <phoneticPr fontId="1" type="noConversion"/>
  </si>
  <si>
    <t>紫水牛悬梁吃蛋黄</t>
    <phoneticPr fontId="1" type="noConversion"/>
  </si>
  <si>
    <t>玄 凉 赤 丹 生地黄</t>
    <phoneticPr fontId="1" type="noConversion"/>
  </si>
  <si>
    <t>3黄2皮龙胆草 苦参</t>
    <phoneticPr fontId="1" type="noConversion"/>
  </si>
  <si>
    <t>十亩栀子淡 夏天炉火明</t>
    <phoneticPr fontId="1" type="noConversion"/>
  </si>
  <si>
    <t>咽尿痢 动物
病理产物 痰湿痈
风肝血
斑脸紫</t>
    <phoneticPr fontId="1" type="noConversion"/>
  </si>
  <si>
    <t>寒热骨</t>
    <phoneticPr fontId="1" type="noConversion"/>
  </si>
  <si>
    <t>寒热咳</t>
    <phoneticPr fontId="1" type="noConversion"/>
  </si>
  <si>
    <t>退荒种林</t>
    <phoneticPr fontId="1" type="noConversion"/>
  </si>
  <si>
    <t>37 普降千花雨</t>
    <phoneticPr fontId="1" type="noConversion"/>
  </si>
  <si>
    <t>蒲 茜</t>
    <phoneticPr fontId="1" type="noConversion"/>
  </si>
  <si>
    <t>方</t>
    <phoneticPr fontId="1" type="noConversion"/>
  </si>
  <si>
    <t>功用</t>
    <phoneticPr fontId="1" type="noConversion"/>
  </si>
  <si>
    <t>主治</t>
    <phoneticPr fontId="1" type="noConversion"/>
  </si>
  <si>
    <t>组成</t>
    <phoneticPr fontId="1" type="noConversion"/>
  </si>
  <si>
    <t>配伍</t>
    <phoneticPr fontId="1" type="noConversion"/>
  </si>
  <si>
    <t>大承气汤</t>
    <phoneticPr fontId="1" type="noConversion"/>
  </si>
  <si>
    <t>寒温/水+-/攻补</t>
    <phoneticPr fontId="1" type="noConversion"/>
  </si>
  <si>
    <t>+ 厚朴 枳实</t>
    <phoneticPr fontId="1" type="noConversion"/>
  </si>
  <si>
    <t>大黄牡丹汤</t>
    <phoneticPr fontId="1" type="noConversion"/>
  </si>
  <si>
    <t>大陷胸汤</t>
    <phoneticPr fontId="1" type="noConversion"/>
  </si>
  <si>
    <t>水</t>
    <phoneticPr fontId="1" type="noConversion"/>
  </si>
  <si>
    <t>泄热逐水</t>
    <phoneticPr fontId="1" type="noConversion"/>
  </si>
  <si>
    <t>+ 甘遂</t>
    <phoneticPr fontId="1" type="noConversion"/>
  </si>
  <si>
    <t>温</t>
    <phoneticPr fontId="1" type="noConversion"/>
  </si>
  <si>
    <t>温脾汤</t>
    <phoneticPr fontId="1" type="noConversion"/>
  </si>
  <si>
    <t>润</t>
    <phoneticPr fontId="1" type="noConversion"/>
  </si>
  <si>
    <t>麻子仁丸</t>
    <phoneticPr fontId="1" type="noConversion"/>
  </si>
  <si>
    <t>行气</t>
    <phoneticPr fontId="1" type="noConversion"/>
  </si>
  <si>
    <t>济川煎</t>
    <phoneticPr fontId="1" type="noConversion"/>
  </si>
  <si>
    <t>十枣汤</t>
    <phoneticPr fontId="1" type="noConversion"/>
  </si>
  <si>
    <t>攻补</t>
    <phoneticPr fontId="1" type="noConversion"/>
  </si>
  <si>
    <t>黄龙汤</t>
    <phoneticPr fontId="1" type="noConversion"/>
  </si>
  <si>
    <t>和解</t>
    <phoneticPr fontId="1" type="noConversion"/>
  </si>
  <si>
    <t>少阳</t>
    <phoneticPr fontId="1" type="noConversion"/>
  </si>
  <si>
    <t>小柴胡</t>
    <phoneticPr fontId="1" type="noConversion"/>
  </si>
  <si>
    <t>木 木土 土</t>
    <phoneticPr fontId="1" type="noConversion"/>
  </si>
  <si>
    <t>六合</t>
    <phoneticPr fontId="1" type="noConversion"/>
  </si>
  <si>
    <t>蒿芩清胆汤</t>
    <phoneticPr fontId="1" type="noConversion"/>
  </si>
  <si>
    <t>肝脾</t>
    <phoneticPr fontId="1" type="noConversion"/>
  </si>
  <si>
    <t>四逆散</t>
    <phoneticPr fontId="1" type="noConversion"/>
  </si>
  <si>
    <t>透</t>
    <phoneticPr fontId="1" type="noConversion"/>
  </si>
  <si>
    <t>偷死你 学逍遥</t>
    <phoneticPr fontId="1" type="noConversion"/>
  </si>
  <si>
    <t>逍遥散</t>
    <phoneticPr fontId="1" type="noConversion"/>
  </si>
  <si>
    <t>养血</t>
    <phoneticPr fontId="1" type="noConversion"/>
  </si>
  <si>
    <t>痛泻要方</t>
    <phoneticPr fontId="1" type="noConversion"/>
  </si>
  <si>
    <t>肠胃</t>
    <phoneticPr fontId="1" type="noConversion"/>
  </si>
  <si>
    <t>半夏泻心汤</t>
    <phoneticPr fontId="1" type="noConversion"/>
  </si>
  <si>
    <t>寒热 痞</t>
    <phoneticPr fontId="1" type="noConversion"/>
  </si>
  <si>
    <t>白虎汤</t>
    <phoneticPr fontId="1" type="noConversion"/>
  </si>
  <si>
    <t>生津</t>
    <phoneticPr fontId="1" type="noConversion"/>
  </si>
  <si>
    <t>一起 17 清热</t>
    <phoneticPr fontId="1" type="noConversion"/>
  </si>
  <si>
    <t>石膏 知母</t>
    <phoneticPr fontId="1" type="noConversion"/>
  </si>
  <si>
    <t>竹叶石膏汤</t>
    <phoneticPr fontId="1" type="noConversion"/>
  </si>
  <si>
    <t>益气</t>
    <phoneticPr fontId="1" type="noConversion"/>
  </si>
  <si>
    <t>气逆欲呕</t>
    <phoneticPr fontId="1" type="noConversion"/>
  </si>
  <si>
    <t>滋阴 ~ 清暑益气汤</t>
    <phoneticPr fontId="1" type="noConversion"/>
  </si>
  <si>
    <t>青蒿鳖甲汤</t>
    <phoneticPr fontId="1" type="noConversion"/>
  </si>
  <si>
    <t>养阴</t>
    <phoneticPr fontId="1" type="noConversion"/>
  </si>
  <si>
    <t>透热</t>
    <phoneticPr fontId="1" type="noConversion"/>
  </si>
  <si>
    <t>当归六黄汤</t>
    <phoneticPr fontId="1" type="noConversion"/>
  </si>
  <si>
    <t>止汗</t>
    <phoneticPr fontId="1" type="noConversion"/>
  </si>
  <si>
    <t>营</t>
    <phoneticPr fontId="1" type="noConversion"/>
  </si>
  <si>
    <t>清营汤</t>
    <phoneticPr fontId="1" type="noConversion"/>
  </si>
  <si>
    <t>犀角地黄汤</t>
    <phoneticPr fontId="1" type="noConversion"/>
  </si>
  <si>
    <t>凉血散瘀</t>
    <phoneticPr fontId="1" type="noConversion"/>
  </si>
  <si>
    <t>黄连解毒汤</t>
    <phoneticPr fontId="1" type="noConversion"/>
  </si>
  <si>
    <t>三黄 栀子</t>
    <phoneticPr fontId="1" type="noConversion"/>
  </si>
  <si>
    <t>普济消毒饮</t>
    <phoneticPr fontId="1" type="noConversion"/>
  </si>
  <si>
    <t>大头瘟</t>
    <phoneticPr fontId="1" type="noConversion"/>
  </si>
  <si>
    <t>凉膈散</t>
    <phoneticPr fontId="1" type="noConversion"/>
  </si>
  <si>
    <t>上下</t>
    <phoneticPr fontId="1" type="noConversion"/>
  </si>
  <si>
    <t>清上泄下</t>
    <phoneticPr fontId="1" type="noConversion"/>
  </si>
  <si>
    <t>膈 上下</t>
    <phoneticPr fontId="1" type="noConversion"/>
  </si>
  <si>
    <t>脏</t>
    <phoneticPr fontId="1" type="noConversion"/>
  </si>
  <si>
    <t>导赤散</t>
    <phoneticPr fontId="1" type="noConversion"/>
  </si>
  <si>
    <t>心</t>
    <phoneticPr fontId="1" type="noConversion"/>
  </si>
  <si>
    <t>泻白散</t>
    <phoneticPr fontId="1" type="noConversion"/>
  </si>
  <si>
    <t>龙胆泻肝汤</t>
    <phoneticPr fontId="1" type="noConversion"/>
  </si>
  <si>
    <t>实</t>
    <phoneticPr fontId="1" type="noConversion"/>
  </si>
  <si>
    <t>左金丸</t>
    <phoneticPr fontId="1" type="noConversion"/>
  </si>
  <si>
    <t>肝火</t>
    <phoneticPr fontId="1" type="noConversion"/>
  </si>
  <si>
    <t>金克木 肝火犯胃吐</t>
    <phoneticPr fontId="1" type="noConversion"/>
  </si>
  <si>
    <t>清胃散</t>
    <phoneticPr fontId="1" type="noConversion"/>
  </si>
  <si>
    <t>积热</t>
    <phoneticPr fontId="1" type="noConversion"/>
  </si>
  <si>
    <t>玉女煎</t>
    <phoneticPr fontId="1" type="noConversion"/>
  </si>
  <si>
    <t>肾阴</t>
    <phoneticPr fontId="1" type="noConversion"/>
  </si>
  <si>
    <t>芍药汤</t>
    <phoneticPr fontId="1" type="noConversion"/>
  </si>
  <si>
    <t>肠</t>
    <phoneticPr fontId="1" type="noConversion"/>
  </si>
  <si>
    <t>调气血</t>
    <phoneticPr fontId="1" type="noConversion"/>
  </si>
  <si>
    <t>湿热痢</t>
    <phoneticPr fontId="1" type="noConversion"/>
  </si>
  <si>
    <t>白头翁汤</t>
    <phoneticPr fontId="1" type="noConversion"/>
  </si>
  <si>
    <t>止痢</t>
    <phoneticPr fontId="1" type="noConversion"/>
  </si>
  <si>
    <t>热毒痢</t>
    <phoneticPr fontId="1" type="noConversion"/>
  </si>
  <si>
    <t>祛暑</t>
    <phoneticPr fontId="1" type="noConversion"/>
  </si>
  <si>
    <t>香薷散</t>
    <phoneticPr fontId="1" type="noConversion"/>
  </si>
  <si>
    <t>阴暑</t>
    <phoneticPr fontId="1" type="noConversion"/>
  </si>
  <si>
    <t>利湿</t>
    <phoneticPr fontId="1" type="noConversion"/>
  </si>
  <si>
    <t>六一散</t>
    <phoneticPr fontId="1" type="noConversion"/>
  </si>
  <si>
    <t>尿 泻</t>
    <phoneticPr fontId="1" type="noConversion"/>
  </si>
  <si>
    <t>清暑益气</t>
    <phoneticPr fontId="1" type="noConversion"/>
  </si>
  <si>
    <t>清暑益气汤</t>
    <phoneticPr fontId="1" type="noConversion"/>
  </si>
  <si>
    <t>气阴两伤</t>
    <phoneticPr fontId="1" type="noConversion"/>
  </si>
  <si>
    <t>回阳</t>
    <phoneticPr fontId="1" type="noConversion"/>
  </si>
  <si>
    <t>四逆汤</t>
    <phoneticPr fontId="1" type="noConversion"/>
  </si>
  <si>
    <t>温经散寒</t>
    <phoneticPr fontId="1" type="noConversion"/>
  </si>
  <si>
    <t>当归四逆汤</t>
    <phoneticPr fontId="1" type="noConversion"/>
  </si>
  <si>
    <t>暖肝煎</t>
    <phoneticPr fontId="1" type="noConversion"/>
  </si>
  <si>
    <t>温中祛寒</t>
    <phoneticPr fontId="1" type="noConversion"/>
  </si>
  <si>
    <t>小建中汤</t>
    <phoneticPr fontId="1" type="noConversion"/>
  </si>
  <si>
    <t>缓急</t>
    <phoneticPr fontId="1" type="noConversion"/>
  </si>
  <si>
    <t>大建中汤</t>
    <phoneticPr fontId="1" type="noConversion"/>
  </si>
  <si>
    <t>吴茱萸汤</t>
    <phoneticPr fontId="1" type="noConversion"/>
  </si>
  <si>
    <t>理中丸</t>
    <phoneticPr fontId="1" type="noConversion"/>
  </si>
  <si>
    <t>表里双解</t>
    <phoneticPr fontId="1" type="noConversion"/>
  </si>
  <si>
    <t>大柴胡汤</t>
    <phoneticPr fontId="1" type="noConversion"/>
  </si>
  <si>
    <t>柴胡都和解少阳</t>
    <phoneticPr fontId="1" type="noConversion"/>
  </si>
  <si>
    <t>防风通圣散</t>
    <phoneticPr fontId="1" type="noConversion"/>
  </si>
  <si>
    <t>葛根黄芩黄连汤</t>
    <phoneticPr fontId="1" type="noConversion"/>
  </si>
  <si>
    <t>扶正</t>
    <phoneticPr fontId="1" type="noConversion"/>
  </si>
  <si>
    <t>败毒散</t>
    <phoneticPr fontId="1" type="noConversion"/>
  </si>
  <si>
    <t>都益气</t>
    <phoneticPr fontId="1" type="noConversion"/>
  </si>
  <si>
    <t>寒湿</t>
    <phoneticPr fontId="1" type="noConversion"/>
  </si>
  <si>
    <t>参苏饮</t>
    <phoneticPr fontId="1" type="noConversion"/>
  </si>
  <si>
    <t>凉</t>
    <phoneticPr fontId="1" type="noConversion"/>
  </si>
  <si>
    <t>桑菊饮</t>
    <phoneticPr fontId="1" type="noConversion"/>
  </si>
  <si>
    <t>轻</t>
    <phoneticPr fontId="1" type="noConversion"/>
  </si>
  <si>
    <t>清热解毒</t>
    <phoneticPr fontId="1" type="noConversion"/>
  </si>
  <si>
    <t>温病初起</t>
    <phoneticPr fontId="1" type="noConversion"/>
  </si>
  <si>
    <t>连翘如何炒梗</t>
    <phoneticPr fontId="1" type="noConversion"/>
  </si>
  <si>
    <t>银翘散</t>
    <phoneticPr fontId="1" type="noConversion"/>
  </si>
  <si>
    <t>平</t>
    <phoneticPr fontId="1" type="noConversion"/>
  </si>
  <si>
    <t>麻杏石甘汤</t>
    <phoneticPr fontId="1" type="noConversion"/>
  </si>
  <si>
    <t>重</t>
    <phoneticPr fontId="1" type="noConversion"/>
  </si>
  <si>
    <t>柴葛解肌汤</t>
    <phoneticPr fontId="1" type="noConversion"/>
  </si>
  <si>
    <t>麻黄汤</t>
    <phoneticPr fontId="1" type="noConversion"/>
  </si>
  <si>
    <t>无汗</t>
    <phoneticPr fontId="1" type="noConversion"/>
  </si>
  <si>
    <t>桂枝汤</t>
    <phoneticPr fontId="1" type="noConversion"/>
  </si>
  <si>
    <t>营卫</t>
    <phoneticPr fontId="1" type="noConversion"/>
  </si>
  <si>
    <t>小青龙汤</t>
    <phoneticPr fontId="1" type="noConversion"/>
  </si>
  <si>
    <t>饮</t>
    <phoneticPr fontId="1" type="noConversion"/>
  </si>
  <si>
    <t>大青龙汤</t>
    <phoneticPr fontId="1" type="noConversion"/>
  </si>
  <si>
    <t>郁热</t>
    <phoneticPr fontId="1" type="noConversion"/>
  </si>
  <si>
    <t>渴</t>
    <phoneticPr fontId="1" type="noConversion"/>
  </si>
  <si>
    <t>麻黄6两</t>
    <phoneticPr fontId="1" type="noConversion"/>
  </si>
  <si>
    <t>九味羌活汤</t>
    <phoneticPr fontId="1" type="noConversion"/>
  </si>
  <si>
    <t>湿 热</t>
    <phoneticPr fontId="1" type="noConversion"/>
  </si>
  <si>
    <t>止嗽散</t>
    <phoneticPr fontId="1" type="noConversion"/>
  </si>
  <si>
    <t>利气</t>
    <phoneticPr fontId="1" type="noConversion"/>
  </si>
  <si>
    <t>乌梅丸</t>
    <phoneticPr fontId="1" type="noConversion"/>
  </si>
  <si>
    <t>健脾宝岛</t>
    <phoneticPr fontId="1" type="noConversion"/>
  </si>
  <si>
    <t>安神枣天珠</t>
    <phoneticPr fontId="1" type="noConversion"/>
  </si>
  <si>
    <t>情歌皇打通宫里</t>
    <phoneticPr fontId="1" type="noConversion"/>
  </si>
  <si>
    <t>清 葛黄 大 攻里</t>
    <phoneticPr fontId="1" type="noConversion"/>
  </si>
  <si>
    <t>61如暑</t>
    <phoneticPr fontId="1" type="noConversion"/>
  </si>
  <si>
    <t>温和保子宫</t>
    <phoneticPr fontId="1" type="noConversion"/>
  </si>
  <si>
    <t>合宝紫</t>
    <phoneticPr fontId="1" type="noConversion"/>
  </si>
  <si>
    <t>母羊尾鲜</t>
    <phoneticPr fontId="1" type="noConversion"/>
  </si>
  <si>
    <t>牡阳韦仙</t>
    <phoneticPr fontId="1" type="noConversion"/>
  </si>
  <si>
    <t>大小建中吴茱萸 四逆归逆暖肝经</t>
    <phoneticPr fontId="1" type="noConversion"/>
  </si>
  <si>
    <t>治燥</t>
    <phoneticPr fontId="1" type="noConversion"/>
  </si>
  <si>
    <t>轻宣</t>
    <phoneticPr fontId="1" type="noConversion"/>
  </si>
  <si>
    <t>Susan桑心选清酒</t>
    <phoneticPr fontId="1" type="noConversion"/>
  </si>
  <si>
    <t>苏散桑杏宣清救</t>
    <phoneticPr fontId="1" type="noConversion"/>
  </si>
  <si>
    <t>滋阴</t>
    <phoneticPr fontId="1" type="noConversion"/>
  </si>
  <si>
    <t>曾阴雨夜卖百合</t>
    <phoneticPr fontId="1" type="noConversion"/>
  </si>
  <si>
    <t>增 玉液麦</t>
    <phoneticPr fontId="1" type="noConversion"/>
  </si>
  <si>
    <t>黄皮骑熊找麻吉</t>
    <phoneticPr fontId="1" type="noConversion"/>
  </si>
  <si>
    <t>脾 气 胸 枣 济</t>
    <phoneticPr fontId="1" type="noConversion"/>
  </si>
  <si>
    <t>固涩</t>
    <phoneticPr fontId="1" type="noConversion"/>
  </si>
  <si>
    <t>飙汗非常带劲
真神仙 牡蛎螵蛸黄虫精</t>
    <phoneticPr fontId="1" type="noConversion"/>
  </si>
  <si>
    <t>表汗肺肠带精
冲 经</t>
    <phoneticPr fontId="1" type="noConversion"/>
  </si>
  <si>
    <t>祛痰</t>
    <phoneticPr fontId="1" type="noConversion"/>
  </si>
  <si>
    <t>喊35 热情胸 疯半天 枣瓜 十2担</t>
    <phoneticPr fontId="1" type="noConversion"/>
  </si>
  <si>
    <t>寒 清胸 风 燥 湿 胆</t>
    <phoneticPr fontId="1" type="noConversion"/>
  </si>
  <si>
    <t>六邪无火</t>
    <phoneticPr fontId="1" type="noConversion"/>
  </si>
  <si>
    <t>治风</t>
    <phoneticPr fontId="1" type="noConversion"/>
  </si>
  <si>
    <t>传销挣钱 大小婚外情 镇内嚼大麻</t>
    <phoneticPr fontId="1" type="noConversion"/>
  </si>
  <si>
    <t>川 消 牵正 大秦 小活 角</t>
    <phoneticPr fontId="1" type="noConversion"/>
  </si>
  <si>
    <t>大小3散</t>
    <phoneticPr fontId="1" type="noConversion"/>
  </si>
  <si>
    <t>降气</t>
    <phoneticPr fontId="1" type="noConversion"/>
  </si>
  <si>
    <t>选定江苏</t>
    <phoneticPr fontId="1" type="noConversion"/>
  </si>
  <si>
    <t>旋 降</t>
    <phoneticPr fontId="1" type="noConversion"/>
  </si>
  <si>
    <t>败毒参苏</t>
    <phoneticPr fontId="1" type="noConversion"/>
  </si>
  <si>
    <t>商人妈拾柴</t>
    <phoneticPr fontId="1" type="noConversion"/>
  </si>
  <si>
    <t>桑银麻石柴</t>
    <phoneticPr fontId="1" type="noConversion"/>
  </si>
  <si>
    <t>麻桂九只大小龙</t>
    <phoneticPr fontId="1" type="noConversion"/>
  </si>
  <si>
    <t>止</t>
    <phoneticPr fontId="1" type="noConversion"/>
  </si>
  <si>
    <t>理血</t>
    <phoneticPr fontId="1" type="noConversion"/>
  </si>
  <si>
    <t xml:space="preserve"> 活学5不问 生肖 灵龟与桃符</t>
    <phoneticPr fontId="1" type="noConversion"/>
  </si>
  <si>
    <t>脏气虚应解毒</t>
    <phoneticPr fontId="1" type="noConversion"/>
  </si>
  <si>
    <t>齐白石</t>
    <phoneticPr fontId="1" type="noConversion"/>
  </si>
  <si>
    <t>脚轻盈</t>
    <phoneticPr fontId="1" type="noConversion"/>
  </si>
  <si>
    <t>角清营</t>
    <phoneticPr fontId="1" type="noConversion"/>
  </si>
  <si>
    <t>好鳖需遛</t>
    <phoneticPr fontId="1" type="noConversion"/>
  </si>
  <si>
    <t>蒿 虚 六</t>
    <phoneticPr fontId="1" type="noConversion"/>
  </si>
  <si>
    <t>脸谱隔毒</t>
    <phoneticPr fontId="1" type="noConversion"/>
  </si>
  <si>
    <t>连普膈</t>
    <phoneticPr fontId="1" type="noConversion"/>
  </si>
  <si>
    <t>金龙请少女吃白头蟹</t>
    <phoneticPr fontId="1" type="noConversion"/>
  </si>
  <si>
    <t>清 芍 赤 泻</t>
    <phoneticPr fontId="1" type="noConversion"/>
  </si>
  <si>
    <t>补益</t>
    <phoneticPr fontId="1" type="noConversion"/>
  </si>
  <si>
    <t>四君苓术不生风</t>
    <phoneticPr fontId="1" type="noConversion"/>
  </si>
  <si>
    <t>补</t>
    <phoneticPr fontId="1" type="noConversion"/>
  </si>
  <si>
    <t>气血</t>
    <phoneticPr fontId="1" type="noConversion"/>
  </si>
  <si>
    <t>大六左一</t>
    <phoneticPr fontId="1" type="noConversion"/>
  </si>
  <si>
    <t>阴阳</t>
    <phoneticPr fontId="1" type="noConversion"/>
  </si>
  <si>
    <t>祛湿</t>
    <phoneticPr fontId="1" type="noConversion"/>
  </si>
  <si>
    <t>独枪007必带香味</t>
    <phoneticPr fontId="1" type="noConversion"/>
  </si>
  <si>
    <t>羌 苓 苓 芪 萆 胃</t>
    <phoneticPr fontId="1" type="noConversion"/>
  </si>
  <si>
    <t>2活</t>
    <phoneticPr fontId="1" type="noConversion"/>
  </si>
  <si>
    <t>猪肝真无皮</t>
    <phoneticPr fontId="1" type="noConversion"/>
  </si>
  <si>
    <t>术甘真武脾</t>
    <phoneticPr fontId="1" type="noConversion"/>
  </si>
  <si>
    <t>0 0 7</t>
    <phoneticPr fontId="1" type="noConversion"/>
  </si>
  <si>
    <t>苓 苓 己芪</t>
    <phoneticPr fontId="1" type="noConversion"/>
  </si>
  <si>
    <t>浊</t>
    <phoneticPr fontId="1" type="noConversion"/>
  </si>
  <si>
    <t>完毕</t>
    <phoneticPr fontId="1" type="noConversion"/>
  </si>
  <si>
    <t>萆</t>
    <phoneticPr fontId="1" type="noConversion"/>
  </si>
  <si>
    <t>燥</t>
    <phoneticPr fontId="1" type="noConversion"/>
  </si>
  <si>
    <t>品味香</t>
    <phoneticPr fontId="1" type="noConversion"/>
  </si>
  <si>
    <t>平胃</t>
    <phoneticPr fontId="1" type="noConversion"/>
  </si>
  <si>
    <t>238妙人镇 当年赶路印脸谱</t>
    <phoneticPr fontId="1" type="noConversion"/>
  </si>
  <si>
    <t>仁正 当拈赶路茵连朴</t>
    <phoneticPr fontId="1" type="noConversion"/>
  </si>
  <si>
    <t>#</t>
    <phoneticPr fontId="1" type="noConversion"/>
  </si>
  <si>
    <t>数</t>
    <phoneticPr fontId="1" type="noConversion"/>
  </si>
  <si>
    <t>敲开香槟常喝</t>
    <phoneticPr fontId="1" type="noConversion"/>
  </si>
  <si>
    <t xml:space="preserve">窍开 冰 菖合 </t>
    <phoneticPr fontId="1" type="noConversion"/>
  </si>
  <si>
    <t>麝香</t>
    <phoneticPr fontId="1" type="noConversion"/>
  </si>
  <si>
    <t>冰片</t>
    <phoneticPr fontId="1" type="noConversion"/>
  </si>
  <si>
    <t>~巴豆</t>
    <phoneticPr fontId="1" type="noConversion"/>
  </si>
  <si>
    <t>石菖蒲</t>
    <phoneticPr fontId="1" type="noConversion"/>
  </si>
  <si>
    <t>苏合香</t>
    <phoneticPr fontId="1" type="noConversion"/>
  </si>
  <si>
    <t>湿 痰</t>
    <phoneticPr fontId="1" type="noConversion"/>
  </si>
  <si>
    <t>痛</t>
    <phoneticPr fontId="1" type="noConversion"/>
  </si>
  <si>
    <t>重开温室花市</t>
    <phoneticPr fontId="1" type="noConversion"/>
  </si>
  <si>
    <t>虫 食 化湿</t>
    <phoneticPr fontId="1" type="noConversion"/>
  </si>
  <si>
    <t>青白地银胡须</t>
    <phoneticPr fontId="1" type="noConversion"/>
  </si>
  <si>
    <t>不泻火</t>
    <phoneticPr fontId="1" type="noConversion"/>
  </si>
  <si>
    <t>银柴胡+黄连</t>
    <phoneticPr fontId="1" type="noConversion"/>
  </si>
  <si>
    <t>虐</t>
    <phoneticPr fontId="1" type="noConversion"/>
  </si>
  <si>
    <t>不虚</t>
    <phoneticPr fontId="1" type="noConversion"/>
  </si>
  <si>
    <t>清热全</t>
    <phoneticPr fontId="1" type="noConversion"/>
  </si>
  <si>
    <t>润燥</t>
    <phoneticPr fontId="1" type="noConversion"/>
  </si>
  <si>
    <t>带 痢</t>
    <phoneticPr fontId="1" type="noConversion"/>
  </si>
  <si>
    <t>胎</t>
    <phoneticPr fontId="1" type="noConversion"/>
  </si>
  <si>
    <t>消渴</t>
    <phoneticPr fontId="1" type="noConversion"/>
  </si>
  <si>
    <t>疹</t>
    <phoneticPr fontId="1" type="noConversion"/>
  </si>
  <si>
    <t>凉燥解虚火</t>
    <phoneticPr fontId="1" type="noConversion"/>
  </si>
  <si>
    <t>龙骨</t>
    <phoneticPr fontId="1" type="noConversion"/>
  </si>
  <si>
    <t>琥珀</t>
    <phoneticPr fontId="1" type="noConversion"/>
  </si>
  <si>
    <t>磁石</t>
    <phoneticPr fontId="1" type="noConversion"/>
  </si>
  <si>
    <t>朱砂</t>
    <phoneticPr fontId="1" type="noConversion"/>
  </si>
  <si>
    <t>血 尿</t>
    <phoneticPr fontId="1" type="noConversion"/>
  </si>
  <si>
    <t>换皮脖子酸 养心止手疼</t>
    <phoneticPr fontId="1" type="noConversion"/>
  </si>
  <si>
    <t>欢皮柏子酸 志首藤</t>
    <phoneticPr fontId="1" type="noConversion"/>
  </si>
  <si>
    <t>合欢皮</t>
    <phoneticPr fontId="1" type="noConversion"/>
  </si>
  <si>
    <t>柏子仁</t>
    <phoneticPr fontId="1" type="noConversion"/>
  </si>
  <si>
    <t>酸枣仁</t>
    <phoneticPr fontId="1" type="noConversion"/>
  </si>
  <si>
    <t>远志</t>
    <phoneticPr fontId="1" type="noConversion"/>
  </si>
  <si>
    <t>首乌藤</t>
    <phoneticPr fontId="1" type="noConversion"/>
  </si>
  <si>
    <t>汗</t>
    <phoneticPr fontId="1" type="noConversion"/>
  </si>
  <si>
    <t>仁</t>
    <phoneticPr fontId="1" type="noConversion"/>
  </si>
  <si>
    <t>藤</t>
    <phoneticPr fontId="1" type="noConversion"/>
  </si>
  <si>
    <t>头目</t>
    <phoneticPr fontId="1" type="noConversion"/>
  </si>
  <si>
    <t>咽 疹</t>
    <phoneticPr fontId="1" type="noConversion"/>
  </si>
  <si>
    <t>人参</t>
    <phoneticPr fontId="1" type="noConversion"/>
  </si>
  <si>
    <t>西洋参</t>
    <phoneticPr fontId="1" type="noConversion"/>
  </si>
  <si>
    <t>党参</t>
    <phoneticPr fontId="1" type="noConversion"/>
  </si>
  <si>
    <t>太子参</t>
    <phoneticPr fontId="1" type="noConversion"/>
  </si>
  <si>
    <t>黄芪</t>
    <phoneticPr fontId="1" type="noConversion"/>
  </si>
  <si>
    <t>白术</t>
    <phoneticPr fontId="1" type="noConversion"/>
  </si>
  <si>
    <t>山药</t>
    <phoneticPr fontId="1" type="noConversion"/>
  </si>
  <si>
    <t>白扁豆</t>
    <phoneticPr fontId="1" type="noConversion"/>
  </si>
  <si>
    <t>甘草</t>
    <phoneticPr fontId="1" type="noConversion"/>
  </si>
  <si>
    <t>蜂蜜</t>
    <phoneticPr fontId="1" type="noConversion"/>
  </si>
  <si>
    <t>大枣</t>
    <phoneticPr fontId="1" type="noConversion"/>
  </si>
  <si>
    <t>精 带</t>
    <phoneticPr fontId="1" type="noConversion"/>
  </si>
  <si>
    <t>上中下内外</t>
    <phoneticPr fontId="1" type="noConversion"/>
  </si>
  <si>
    <t>当归</t>
    <phoneticPr fontId="1" type="noConversion"/>
  </si>
  <si>
    <t>熟地黄</t>
    <phoneticPr fontId="1" type="noConversion"/>
  </si>
  <si>
    <t>白芍</t>
    <phoneticPr fontId="1" type="noConversion"/>
  </si>
  <si>
    <t>阿胶</t>
    <phoneticPr fontId="1" type="noConversion"/>
  </si>
  <si>
    <t>何首乌</t>
    <phoneticPr fontId="1" type="noConversion"/>
  </si>
  <si>
    <t>龙眼肉</t>
    <phoneticPr fontId="1" type="noConversion"/>
  </si>
  <si>
    <t>止痛 通便</t>
    <phoneticPr fontId="1" type="noConversion"/>
  </si>
  <si>
    <t>生地 清热凉血</t>
    <phoneticPr fontId="1" type="noConversion"/>
  </si>
  <si>
    <t>巴戟天</t>
    <phoneticPr fontId="1" type="noConversion"/>
  </si>
  <si>
    <t>淫羊藿</t>
    <phoneticPr fontId="1" type="noConversion"/>
  </si>
  <si>
    <t>仙茅</t>
    <phoneticPr fontId="1" type="noConversion"/>
  </si>
  <si>
    <t>锁阳</t>
    <phoneticPr fontId="1" type="noConversion"/>
  </si>
  <si>
    <t>肉苁蓉</t>
    <phoneticPr fontId="1" type="noConversion"/>
  </si>
  <si>
    <t>冬虫夏草</t>
    <phoneticPr fontId="1" type="noConversion"/>
  </si>
  <si>
    <t>蛤蚧</t>
    <phoneticPr fontId="1" type="noConversion"/>
  </si>
  <si>
    <t>沙苑子</t>
    <phoneticPr fontId="1" type="noConversion"/>
  </si>
  <si>
    <t>菟丝子</t>
    <phoneticPr fontId="1" type="noConversion"/>
  </si>
  <si>
    <t>补骨脂</t>
    <phoneticPr fontId="1" type="noConversion"/>
  </si>
  <si>
    <t>益智仁</t>
    <phoneticPr fontId="1" type="noConversion"/>
  </si>
  <si>
    <t>杜仲</t>
    <phoneticPr fontId="1" type="noConversion"/>
  </si>
  <si>
    <t>续断</t>
    <phoneticPr fontId="1" type="noConversion"/>
  </si>
  <si>
    <t>鹿茸</t>
    <phoneticPr fontId="1" type="noConversion"/>
  </si>
  <si>
    <t>紫河车</t>
    <phoneticPr fontId="1" type="noConversion"/>
  </si>
  <si>
    <t>羊</t>
    <phoneticPr fontId="1" type="noConversion"/>
  </si>
  <si>
    <t>通便</t>
    <phoneticPr fontId="1" type="noConversion"/>
  </si>
  <si>
    <t>肾</t>
    <phoneticPr fontId="1" type="noConversion"/>
  </si>
  <si>
    <t>脾</t>
    <phoneticPr fontId="1" type="noConversion"/>
  </si>
  <si>
    <t>牛膝 桑寄生 五加皮</t>
    <phoneticPr fontId="1" type="noConversion"/>
  </si>
  <si>
    <t>精血</t>
    <phoneticPr fontId="1" type="noConversion"/>
  </si>
  <si>
    <t>血 痰</t>
    <phoneticPr fontId="1" type="noConversion"/>
  </si>
  <si>
    <t>纳 喘</t>
    <phoneticPr fontId="1" type="noConversion"/>
  </si>
  <si>
    <t>摄唾</t>
    <phoneticPr fontId="1" type="noConversion"/>
  </si>
  <si>
    <t>天冬</t>
    <phoneticPr fontId="1" type="noConversion"/>
  </si>
  <si>
    <t>玉竹</t>
    <phoneticPr fontId="1" type="noConversion"/>
  </si>
  <si>
    <t>百合</t>
    <phoneticPr fontId="1" type="noConversion"/>
  </si>
  <si>
    <t>麦冬</t>
    <phoneticPr fontId="1" type="noConversion"/>
  </si>
  <si>
    <t>南沙参</t>
    <phoneticPr fontId="1" type="noConversion"/>
  </si>
  <si>
    <t>北沙参</t>
    <phoneticPr fontId="1" type="noConversion"/>
  </si>
  <si>
    <t>石斛</t>
    <phoneticPr fontId="1" type="noConversion"/>
  </si>
  <si>
    <t>黄精</t>
    <phoneticPr fontId="1" type="noConversion"/>
  </si>
  <si>
    <t>鳖甲</t>
    <phoneticPr fontId="1" type="noConversion"/>
  </si>
  <si>
    <t>龟甲</t>
    <phoneticPr fontId="1" type="noConversion"/>
  </si>
  <si>
    <t>旱莲草</t>
    <phoneticPr fontId="1" type="noConversion"/>
  </si>
  <si>
    <t>女贞子</t>
    <phoneticPr fontId="1" type="noConversion"/>
  </si>
  <si>
    <t>楮实子</t>
    <phoneticPr fontId="1" type="noConversion"/>
  </si>
  <si>
    <t>枸杞子</t>
    <phoneticPr fontId="1" type="noConversion"/>
  </si>
  <si>
    <t>内脏</t>
    <phoneticPr fontId="1" type="noConversion"/>
  </si>
  <si>
    <t>肺脾肾</t>
    <phoneticPr fontId="1" type="noConversion"/>
  </si>
  <si>
    <t>肺胃</t>
    <phoneticPr fontId="1" type="noConversion"/>
  </si>
  <si>
    <t>心肺胃</t>
    <phoneticPr fontId="1" type="noConversion"/>
  </si>
  <si>
    <t>肺肾</t>
    <phoneticPr fontId="1" type="noConversion"/>
  </si>
  <si>
    <t>心肺</t>
    <phoneticPr fontId="1" type="noConversion"/>
  </si>
  <si>
    <t>肝肾</t>
    <phoneticPr fontId="1" type="noConversion"/>
  </si>
  <si>
    <t>甲</t>
    <phoneticPr fontId="1" type="noConversion"/>
  </si>
  <si>
    <t>目</t>
    <phoneticPr fontId="1" type="noConversion"/>
  </si>
  <si>
    <t>不明目</t>
    <phoneticPr fontId="1" type="noConversion"/>
  </si>
  <si>
    <t>凉止</t>
    <phoneticPr fontId="1" type="noConversion"/>
  </si>
  <si>
    <t>乌发</t>
    <phoneticPr fontId="1" type="noConversion"/>
  </si>
  <si>
    <t>代赭石</t>
    <phoneticPr fontId="1" type="noConversion"/>
  </si>
  <si>
    <t>罗布麻</t>
    <phoneticPr fontId="1" type="noConversion"/>
  </si>
  <si>
    <t>刺蒺藜</t>
    <phoneticPr fontId="1" type="noConversion"/>
  </si>
  <si>
    <t>珍珠母</t>
    <phoneticPr fontId="1" type="noConversion"/>
  </si>
  <si>
    <t>牡蛎</t>
    <phoneticPr fontId="1" type="noConversion"/>
  </si>
  <si>
    <t>羚羊角</t>
    <phoneticPr fontId="1" type="noConversion"/>
  </si>
  <si>
    <t>牛黄</t>
    <phoneticPr fontId="1" type="noConversion"/>
  </si>
  <si>
    <t>全蝎</t>
    <phoneticPr fontId="1" type="noConversion"/>
  </si>
  <si>
    <t>蜈蚣</t>
    <phoneticPr fontId="1" type="noConversion"/>
  </si>
  <si>
    <t>地龙</t>
    <phoneticPr fontId="1" type="noConversion"/>
  </si>
  <si>
    <t>僵蚕</t>
    <phoneticPr fontId="1" type="noConversion"/>
  </si>
  <si>
    <t>天麻</t>
    <phoneticPr fontId="1" type="noConversion"/>
  </si>
  <si>
    <t>钩藤</t>
    <phoneticPr fontId="1" type="noConversion"/>
  </si>
  <si>
    <t>珍珠</t>
    <phoneticPr fontId="1" type="noConversion"/>
  </si>
  <si>
    <t>大动物</t>
    <phoneticPr fontId="1" type="noConversion"/>
  </si>
  <si>
    <t>小动物</t>
    <phoneticPr fontId="1" type="noConversion"/>
  </si>
  <si>
    <t>攻毒</t>
    <phoneticPr fontId="1" type="noConversion"/>
  </si>
  <si>
    <t>喘 尿 络</t>
    <phoneticPr fontId="1" type="noConversion"/>
  </si>
  <si>
    <t>风 痰 结</t>
    <phoneticPr fontId="1" type="noConversion"/>
  </si>
  <si>
    <t>痉</t>
    <phoneticPr fontId="1" type="noConversion"/>
  </si>
  <si>
    <t>定惊</t>
    <phoneticPr fontId="1" type="noConversion"/>
  </si>
  <si>
    <t>制酸</t>
    <phoneticPr fontId="1" type="noConversion"/>
  </si>
  <si>
    <t>降 凉止</t>
    <phoneticPr fontId="1" type="noConversion"/>
  </si>
  <si>
    <t>热 尿</t>
    <phoneticPr fontId="1" type="noConversion"/>
  </si>
  <si>
    <t>麻黄根</t>
    <phoneticPr fontId="1" type="noConversion"/>
  </si>
  <si>
    <t>浮小麦</t>
    <phoneticPr fontId="1" type="noConversion"/>
  </si>
  <si>
    <t>诃子</t>
    <phoneticPr fontId="1" type="noConversion"/>
  </si>
  <si>
    <t>肉豆蔻</t>
    <phoneticPr fontId="1" type="noConversion"/>
  </si>
  <si>
    <t>五味子</t>
    <phoneticPr fontId="1" type="noConversion"/>
  </si>
  <si>
    <t>五倍子</t>
    <phoneticPr fontId="1" type="noConversion"/>
  </si>
  <si>
    <t>乌梅</t>
    <phoneticPr fontId="1" type="noConversion"/>
  </si>
  <si>
    <t>利咽开音</t>
    <phoneticPr fontId="1" type="noConversion"/>
  </si>
  <si>
    <t>赤石脂</t>
    <phoneticPr fontId="1" type="noConversion"/>
  </si>
  <si>
    <t>泻 汗 血 疮</t>
    <phoneticPr fontId="1" type="noConversion"/>
  </si>
  <si>
    <t>泻 行气</t>
    <phoneticPr fontId="1" type="noConversion"/>
  </si>
  <si>
    <t>津 心肾</t>
    <phoneticPr fontId="1" type="noConversion"/>
  </si>
  <si>
    <t>血 疮</t>
    <phoneticPr fontId="1" type="noConversion"/>
  </si>
  <si>
    <t>蛔</t>
    <phoneticPr fontId="1" type="noConversion"/>
  </si>
  <si>
    <t>白豆蔻 吐 化湿</t>
    <phoneticPr fontId="1" type="noConversion"/>
  </si>
  <si>
    <t>精尿带</t>
    <phoneticPr fontId="1" type="noConversion"/>
  </si>
  <si>
    <t>椿皮</t>
    <phoneticPr fontId="1" type="noConversion"/>
  </si>
  <si>
    <t>桑螵蛸</t>
    <phoneticPr fontId="1" type="noConversion"/>
  </si>
  <si>
    <t>海螵蛸</t>
    <phoneticPr fontId="1" type="noConversion"/>
  </si>
  <si>
    <t>芡实</t>
    <phoneticPr fontId="1" type="noConversion"/>
  </si>
  <si>
    <t>金樱子</t>
    <phoneticPr fontId="1" type="noConversion"/>
  </si>
  <si>
    <t>莲子</t>
    <phoneticPr fontId="1" type="noConversion"/>
  </si>
  <si>
    <t>山茱萸</t>
    <phoneticPr fontId="1" type="noConversion"/>
  </si>
  <si>
    <t>湿 脾</t>
    <phoneticPr fontId="1" type="noConversion"/>
  </si>
  <si>
    <t>泄 肠</t>
    <phoneticPr fontId="1" type="noConversion"/>
  </si>
  <si>
    <t>心脾肾</t>
    <phoneticPr fontId="1" type="noConversion"/>
  </si>
  <si>
    <t>血 制酸</t>
    <phoneticPr fontId="1" type="noConversion"/>
  </si>
  <si>
    <t>男科</t>
    <phoneticPr fontId="1" type="noConversion"/>
  </si>
  <si>
    <t>妇科</t>
    <phoneticPr fontId="1" type="noConversion"/>
  </si>
  <si>
    <t>崩漏 脱</t>
    <phoneticPr fontId="1" type="noConversion"/>
  </si>
  <si>
    <t>要药</t>
    <phoneticPr fontId="1" type="noConversion"/>
  </si>
  <si>
    <t>安胎 妇科虚寒 胞宫</t>
    <phoneticPr fontId="1" type="noConversion"/>
  </si>
  <si>
    <t>活血 定痛</t>
    <phoneticPr fontId="1" type="noConversion"/>
  </si>
  <si>
    <t>不收敛</t>
    <phoneticPr fontId="1" type="noConversion"/>
  </si>
  <si>
    <t>疟 痢 疮 虫</t>
    <phoneticPr fontId="1" type="noConversion"/>
  </si>
  <si>
    <t>肿 肌</t>
    <phoneticPr fontId="1" type="noConversion"/>
  </si>
  <si>
    <t>泻 带</t>
    <phoneticPr fontId="1" type="noConversion"/>
  </si>
  <si>
    <t>吐血 崩漏</t>
    <phoneticPr fontId="1" type="noConversion"/>
  </si>
  <si>
    <t>肺热</t>
    <phoneticPr fontId="1" type="noConversion"/>
  </si>
  <si>
    <t>痰 咳</t>
    <phoneticPr fontId="1" type="noConversion"/>
  </si>
  <si>
    <t>坦克 侧柏</t>
    <phoneticPr fontId="1" type="noConversion"/>
  </si>
  <si>
    <t>牛膝</t>
    <phoneticPr fontId="1" type="noConversion"/>
  </si>
  <si>
    <t>桃仁</t>
    <phoneticPr fontId="1" type="noConversion"/>
  </si>
  <si>
    <t>鸡血藤</t>
    <phoneticPr fontId="1" type="noConversion"/>
  </si>
  <si>
    <t>王不留行</t>
    <phoneticPr fontId="1" type="noConversion"/>
  </si>
  <si>
    <t>益母草</t>
    <phoneticPr fontId="1" type="noConversion"/>
  </si>
  <si>
    <t>泽兰</t>
    <phoneticPr fontId="1" type="noConversion"/>
  </si>
  <si>
    <t>红花</t>
    <phoneticPr fontId="1" type="noConversion"/>
  </si>
  <si>
    <t>丹参</t>
    <phoneticPr fontId="1" type="noConversion"/>
  </si>
  <si>
    <t>土鳖虫</t>
    <phoneticPr fontId="1" type="noConversion"/>
  </si>
  <si>
    <t>苏木</t>
    <phoneticPr fontId="1" type="noConversion"/>
  </si>
  <si>
    <t>自然铜</t>
    <phoneticPr fontId="1" type="noConversion"/>
  </si>
  <si>
    <t>骨碎补</t>
    <phoneticPr fontId="1" type="noConversion"/>
  </si>
  <si>
    <t>血竭</t>
    <phoneticPr fontId="1" type="noConversion"/>
  </si>
  <si>
    <t>川芎</t>
    <phoneticPr fontId="1" type="noConversion"/>
  </si>
  <si>
    <t>延胡索</t>
    <phoneticPr fontId="1" type="noConversion"/>
  </si>
  <si>
    <t>姜黄</t>
    <phoneticPr fontId="1" type="noConversion"/>
  </si>
  <si>
    <t>郁金</t>
    <phoneticPr fontId="1" type="noConversion"/>
  </si>
  <si>
    <t>五灵脂</t>
    <phoneticPr fontId="1" type="noConversion"/>
  </si>
  <si>
    <t>没药</t>
    <phoneticPr fontId="1" type="noConversion"/>
  </si>
  <si>
    <t>乳香</t>
    <phoneticPr fontId="1" type="noConversion"/>
  </si>
  <si>
    <t>三棱</t>
    <phoneticPr fontId="1" type="noConversion"/>
  </si>
  <si>
    <t>水蛭</t>
    <phoneticPr fontId="1" type="noConversion"/>
  </si>
  <si>
    <t>穿山甲</t>
    <phoneticPr fontId="1" type="noConversion"/>
  </si>
  <si>
    <t>莪术</t>
    <phoneticPr fontId="1" type="noConversion"/>
  </si>
  <si>
    <t>强筋骨 引火下行</t>
    <phoneticPr fontId="1" type="noConversion"/>
  </si>
  <si>
    <t>痈</t>
  </si>
  <si>
    <t>尿 肿</t>
    <phoneticPr fontId="1" type="noConversion"/>
  </si>
  <si>
    <t>咳喘</t>
    <phoneticPr fontId="1" type="noConversion"/>
  </si>
  <si>
    <t>桃花红</t>
    <phoneticPr fontId="1" type="noConversion"/>
  </si>
  <si>
    <t xml:space="preserve">凉血 </t>
    <phoneticPr fontId="1" type="noConversion"/>
  </si>
  <si>
    <t>马钱子</t>
    <phoneticPr fontId="1" type="noConversion"/>
  </si>
  <si>
    <t>淤 肌</t>
    <phoneticPr fontId="1" type="noConversion"/>
  </si>
  <si>
    <t>行气止痛</t>
    <phoneticPr fontId="1" type="noConversion"/>
  </si>
  <si>
    <t>破血行气止痛</t>
    <phoneticPr fontId="1" type="noConversion"/>
  </si>
  <si>
    <t>上中下</t>
    <phoneticPr fontId="1" type="noConversion"/>
  </si>
  <si>
    <t>头目 郁结 经水</t>
    <phoneticPr fontId="1" type="noConversion"/>
  </si>
  <si>
    <t>通经络</t>
    <phoneticPr fontId="1" type="noConversion"/>
  </si>
  <si>
    <t>解郁</t>
    <phoneticPr fontId="1" type="noConversion"/>
  </si>
  <si>
    <t>退黄 凉血</t>
    <phoneticPr fontId="1" type="noConversion"/>
  </si>
  <si>
    <t xml:space="preserve">灵痛香药川索姜郁 </t>
    <phoneticPr fontId="1" type="noConversion"/>
  </si>
  <si>
    <t>灵童想要穿梭疆域</t>
    <phoneticPr fontId="1" type="noConversion"/>
  </si>
  <si>
    <t>~三七</t>
    <phoneticPr fontId="1" type="noConversion"/>
  </si>
  <si>
    <t>消积</t>
    <phoneticPr fontId="1" type="noConversion"/>
  </si>
  <si>
    <t>癥</t>
    <phoneticPr fontId="1" type="noConversion"/>
  </si>
  <si>
    <t>半夏</t>
    <phoneticPr fontId="1" type="noConversion"/>
  </si>
  <si>
    <t>天南星</t>
    <phoneticPr fontId="1" type="noConversion"/>
  </si>
  <si>
    <t>白芥子</t>
    <phoneticPr fontId="1" type="noConversion"/>
  </si>
  <si>
    <t>白前</t>
    <phoneticPr fontId="1" type="noConversion"/>
  </si>
  <si>
    <t>旋覆花</t>
    <phoneticPr fontId="1" type="noConversion"/>
  </si>
  <si>
    <t>海藻</t>
    <phoneticPr fontId="1" type="noConversion"/>
  </si>
  <si>
    <t>竹茹</t>
    <phoneticPr fontId="1" type="noConversion"/>
  </si>
  <si>
    <t>川贝母</t>
    <phoneticPr fontId="1" type="noConversion"/>
  </si>
  <si>
    <t>浙贝母</t>
    <phoneticPr fontId="1" type="noConversion"/>
  </si>
  <si>
    <t>桔梗</t>
    <phoneticPr fontId="1" type="noConversion"/>
  </si>
  <si>
    <t>瓜蒌</t>
    <phoneticPr fontId="1" type="noConversion"/>
  </si>
  <si>
    <t>竹沥</t>
    <phoneticPr fontId="1" type="noConversion"/>
  </si>
  <si>
    <t>天竺黄</t>
    <phoneticPr fontId="1" type="noConversion"/>
  </si>
  <si>
    <t>昆布</t>
    <phoneticPr fontId="1" type="noConversion"/>
  </si>
  <si>
    <t>海蛤壳</t>
    <phoneticPr fontId="1" type="noConversion"/>
  </si>
  <si>
    <t>都软坚</t>
    <phoneticPr fontId="1" type="noConversion"/>
  </si>
  <si>
    <t>凉止 呕</t>
    <phoneticPr fontId="1" type="noConversion"/>
  </si>
  <si>
    <t>~芦根</t>
    <phoneticPr fontId="1" type="noConversion"/>
  </si>
  <si>
    <t>前胡</t>
    <phoneticPr fontId="1" type="noConversion"/>
  </si>
  <si>
    <t>咽 脓</t>
    <phoneticPr fontId="1" type="noConversion"/>
  </si>
  <si>
    <t>宽胸散结</t>
    <phoneticPr fontId="1" type="noConversion"/>
  </si>
  <si>
    <t>紫苏子</t>
    <phoneticPr fontId="1" type="noConversion"/>
  </si>
  <si>
    <t>苦杏仁</t>
    <phoneticPr fontId="1" type="noConversion"/>
  </si>
  <si>
    <t>紫菀</t>
    <phoneticPr fontId="1" type="noConversion"/>
  </si>
  <si>
    <t>百部</t>
    <phoneticPr fontId="1" type="noConversion"/>
  </si>
  <si>
    <t>款冬花</t>
    <phoneticPr fontId="1" type="noConversion"/>
  </si>
  <si>
    <t>桑白皮</t>
    <phoneticPr fontId="1" type="noConversion"/>
  </si>
  <si>
    <t>葶苈子</t>
    <phoneticPr fontId="1" type="noConversion"/>
  </si>
  <si>
    <t>白果</t>
    <phoneticPr fontId="1" type="noConversion"/>
  </si>
  <si>
    <t>枇杷叶</t>
    <phoneticPr fontId="1" type="noConversion"/>
  </si>
  <si>
    <t>平喘</t>
    <phoneticPr fontId="1" type="noConversion"/>
  </si>
  <si>
    <t>~榧子</t>
    <phoneticPr fontId="1" type="noConversion"/>
  </si>
  <si>
    <t>泻肺</t>
    <phoneticPr fontId="1" type="noConversion"/>
  </si>
  <si>
    <t>敛肺</t>
    <phoneticPr fontId="1" type="noConversion"/>
  </si>
  <si>
    <t>清肺</t>
    <phoneticPr fontId="1" type="noConversion"/>
  </si>
  <si>
    <t>降逆止呕</t>
    <phoneticPr fontId="1" type="noConversion"/>
  </si>
  <si>
    <t>尿 带</t>
    <phoneticPr fontId="1" type="noConversion"/>
  </si>
  <si>
    <t>鸟带白果飞</t>
    <phoneticPr fontId="1" type="noConversion"/>
  </si>
  <si>
    <t>皮 水</t>
    <phoneticPr fontId="1" type="noConversion"/>
  </si>
  <si>
    <t>利气 通络</t>
    <phoneticPr fontId="1" type="noConversion"/>
  </si>
  <si>
    <t>痞 肿痛</t>
    <phoneticPr fontId="1" type="noConversion"/>
  </si>
  <si>
    <t>三三两两痰热瓜
早不困 立如天 节前割瓜</t>
    <phoneticPr fontId="1" type="noConversion"/>
  </si>
  <si>
    <t>海 藻昆布 竹 桔前蛤</t>
    <phoneticPr fontId="1" type="noConversion"/>
  </si>
  <si>
    <t>尿 肿 毒</t>
    <phoneticPr fontId="1" type="noConversion"/>
  </si>
  <si>
    <t>~五加皮</t>
    <phoneticPr fontId="1" type="noConversion"/>
  </si>
  <si>
    <t>咳</t>
    <phoneticPr fontId="1" type="noConversion"/>
  </si>
  <si>
    <t>皮 痒</t>
    <phoneticPr fontId="1" type="noConversion"/>
  </si>
  <si>
    <t>子 不通便</t>
    <phoneticPr fontId="1" type="noConversion"/>
  </si>
  <si>
    <t>清肝明目 祛痰 止泻 
子 不通便</t>
    <phoneticPr fontId="1" type="noConversion"/>
  </si>
  <si>
    <t>雄黄</t>
    <phoneticPr fontId="1" type="noConversion"/>
  </si>
  <si>
    <t>硫磺</t>
    <phoneticPr fontId="1" type="noConversion"/>
  </si>
  <si>
    <t>白矾</t>
    <phoneticPr fontId="1" type="noConversion"/>
  </si>
  <si>
    <t>蛇床子</t>
    <phoneticPr fontId="1" type="noConversion"/>
  </si>
  <si>
    <t>蟾酥</t>
    <phoneticPr fontId="1" type="noConversion"/>
  </si>
  <si>
    <t>峰房</t>
    <phoneticPr fontId="1" type="noConversion"/>
  </si>
  <si>
    <t>醒神</t>
    <phoneticPr fontId="1" type="noConversion"/>
  </si>
  <si>
    <t>痰 疟</t>
    <phoneticPr fontId="1" type="noConversion"/>
  </si>
  <si>
    <t>痒</t>
    <phoneticPr fontId="1" type="noConversion"/>
  </si>
  <si>
    <t>虚安神 表泄气</t>
    <phoneticPr fontId="1" type="noConversion"/>
  </si>
  <si>
    <t>退黄肿淋</t>
    <phoneticPr fontId="1" type="noConversion"/>
  </si>
  <si>
    <t>解表</t>
  </si>
  <si>
    <t>泻下</t>
  </si>
  <si>
    <t>和解</t>
  </si>
  <si>
    <t>清热</t>
  </si>
  <si>
    <t>祛暑</t>
  </si>
  <si>
    <t>温里</t>
  </si>
  <si>
    <t>表里双解</t>
  </si>
  <si>
    <t>补益</t>
  </si>
  <si>
    <t>固涩</t>
  </si>
  <si>
    <t>安神</t>
  </si>
  <si>
    <t>开窍</t>
  </si>
  <si>
    <t>理气</t>
  </si>
  <si>
    <t>理血</t>
  </si>
  <si>
    <t>十灰散</t>
  </si>
  <si>
    <t>治风</t>
  </si>
  <si>
    <t>治燥</t>
  </si>
  <si>
    <t>祛湿</t>
  </si>
  <si>
    <t>当归拈痛汤</t>
  </si>
  <si>
    <t>祛痰</t>
  </si>
  <si>
    <t>消食</t>
  </si>
  <si>
    <t>驱虫</t>
  </si>
  <si>
    <t>麻黄汤</t>
  </si>
  <si>
    <t>桂枝汤</t>
  </si>
  <si>
    <t>九味羌活汤</t>
  </si>
  <si>
    <t>小青龙汤</t>
  </si>
  <si>
    <t>大青龙汤</t>
  </si>
  <si>
    <t>止嗽散</t>
  </si>
  <si>
    <t>银翘散</t>
  </si>
  <si>
    <t>桑菊饮</t>
  </si>
  <si>
    <t>柴葛解肌汤</t>
  </si>
  <si>
    <t>败毒散</t>
  </si>
  <si>
    <t>参苏饮</t>
  </si>
  <si>
    <t>大承气汤</t>
  </si>
  <si>
    <t>大黄牡丹汤</t>
  </si>
  <si>
    <t>大陷胸汤</t>
  </si>
  <si>
    <t>温脾汤</t>
  </si>
  <si>
    <t>麻子仁丸</t>
  </si>
  <si>
    <t>济川煎</t>
  </si>
  <si>
    <t>十枣汤</t>
  </si>
  <si>
    <t>黄龙汤</t>
  </si>
  <si>
    <t>小柴胡汤</t>
  </si>
  <si>
    <t>蒿芩清胆汤</t>
  </si>
  <si>
    <t>四逆散</t>
  </si>
  <si>
    <t>逍遥散</t>
  </si>
  <si>
    <t>痛泻要方</t>
  </si>
  <si>
    <t>半夏泻心汤</t>
  </si>
  <si>
    <t>白虎汤</t>
  </si>
  <si>
    <t>竹叶石膏汤</t>
  </si>
  <si>
    <t>清营汤</t>
  </si>
  <si>
    <t>犀角地黄汤</t>
  </si>
  <si>
    <t>黄连解毒汤</t>
  </si>
  <si>
    <t>凉膈散</t>
  </si>
  <si>
    <t>普济消毒饮</t>
  </si>
  <si>
    <t>仙方活命饮</t>
  </si>
  <si>
    <t>导赤散</t>
  </si>
  <si>
    <t>龙胆泻肝汤</t>
  </si>
  <si>
    <t>左金丸</t>
  </si>
  <si>
    <t>苇茎汤</t>
  </si>
  <si>
    <t>泻白散</t>
  </si>
  <si>
    <t>清胃散</t>
  </si>
  <si>
    <t>玉女煎</t>
  </si>
  <si>
    <t>芍药汤</t>
  </si>
  <si>
    <t>白头翁汤</t>
  </si>
  <si>
    <t>青蒿鳖甲汤</t>
  </si>
  <si>
    <t>当归六黄汤</t>
  </si>
  <si>
    <t>香薷散</t>
  </si>
  <si>
    <t>六一散</t>
  </si>
  <si>
    <t>清暑益气汤</t>
  </si>
  <si>
    <t>理中丸</t>
  </si>
  <si>
    <t>小建中汤</t>
  </si>
  <si>
    <t>大建中汤</t>
  </si>
  <si>
    <t>吴茱萸汤</t>
  </si>
  <si>
    <t>四逆汤</t>
  </si>
  <si>
    <t>当归四逆汤</t>
  </si>
  <si>
    <t>阳和汤</t>
  </si>
  <si>
    <t>黄芪桂枝五物汤</t>
  </si>
  <si>
    <t>葛根黄芩黄连汤</t>
  </si>
  <si>
    <t>大柴胡汤</t>
  </si>
  <si>
    <t>防风通圣散</t>
  </si>
  <si>
    <t>四君子汤</t>
  </si>
  <si>
    <t>参苓白术散</t>
  </si>
  <si>
    <t>补中益气汤</t>
  </si>
  <si>
    <t>生脉散</t>
  </si>
  <si>
    <t>玉屏风散</t>
  </si>
  <si>
    <t>四物汤</t>
  </si>
  <si>
    <t>当归补血汤</t>
  </si>
  <si>
    <t>归脾汤</t>
  </si>
  <si>
    <t>八珍汤</t>
  </si>
  <si>
    <t>六味地黄丸</t>
  </si>
  <si>
    <t>左归丸</t>
  </si>
  <si>
    <t>大补阴丸</t>
  </si>
  <si>
    <t>百合固金汤</t>
  </si>
  <si>
    <t>一贯煎</t>
  </si>
  <si>
    <t>肾气丸</t>
  </si>
  <si>
    <t>右归丸</t>
  </si>
  <si>
    <t>地黄饮子</t>
  </si>
  <si>
    <t>牡蛎散</t>
  </si>
  <si>
    <t>九仙散</t>
  </si>
  <si>
    <t>真人养脏汤</t>
  </si>
  <si>
    <t>四神丸</t>
  </si>
  <si>
    <t>桑螵蛸散</t>
  </si>
  <si>
    <t>固冲汤</t>
  </si>
  <si>
    <t>固经丸</t>
  </si>
  <si>
    <t>易黄汤</t>
  </si>
  <si>
    <t>朱砂安神丸</t>
  </si>
  <si>
    <t>天王补心丹</t>
  </si>
  <si>
    <t>酸枣仁汤</t>
  </si>
  <si>
    <t>苏合香丸</t>
  </si>
  <si>
    <t>越鞠丸</t>
  </si>
  <si>
    <t>半夏厚朴汤</t>
  </si>
  <si>
    <t>厚朴温中汤</t>
  </si>
  <si>
    <t>天台乌药散</t>
  </si>
  <si>
    <t>暖肝煎</t>
  </si>
  <si>
    <t>柴胡疏肝散</t>
  </si>
  <si>
    <t>瓜蒌薤白白酒汤</t>
  </si>
  <si>
    <t>苏子降气汤</t>
  </si>
  <si>
    <t>定喘汤</t>
  </si>
  <si>
    <t>旋覆代赭汤</t>
  </si>
  <si>
    <t>桃核承气汤</t>
  </si>
  <si>
    <t>血府逐瘀汤</t>
  </si>
  <si>
    <t>补阳还五汤</t>
  </si>
  <si>
    <t>复元活血汤</t>
  </si>
  <si>
    <t>温经汤</t>
  </si>
  <si>
    <t>生化汤</t>
  </si>
  <si>
    <t>失笑散</t>
  </si>
  <si>
    <t>桂枝茯苓丸</t>
  </si>
  <si>
    <t>咳血方</t>
  </si>
  <si>
    <t>小蓟饮子</t>
  </si>
  <si>
    <t>槐花散</t>
  </si>
  <si>
    <t>黄土汤</t>
  </si>
  <si>
    <t>川芎茶调散</t>
  </si>
  <si>
    <t>大秦艽汤</t>
  </si>
  <si>
    <t>小活络丹</t>
  </si>
  <si>
    <t>牵正散</t>
  </si>
  <si>
    <t>消风散</t>
  </si>
  <si>
    <t>羚角钩藤汤</t>
  </si>
  <si>
    <t>镇肝熄风汤</t>
  </si>
  <si>
    <t>天麻钩藤饮</t>
  </si>
  <si>
    <t>大定风珠</t>
  </si>
  <si>
    <t>杏苏散</t>
  </si>
  <si>
    <t>桑杏汤</t>
  </si>
  <si>
    <t>清燥救肺汤</t>
  </si>
  <si>
    <t>增液汤</t>
  </si>
  <si>
    <t>麦门冬汤</t>
  </si>
  <si>
    <t>玉液汤</t>
  </si>
  <si>
    <t>养阴清肺汤</t>
  </si>
  <si>
    <t>藿香正气散</t>
  </si>
  <si>
    <t>茵陈蒿汤</t>
  </si>
  <si>
    <t>八正散</t>
  </si>
  <si>
    <t>三仁汤</t>
  </si>
  <si>
    <t>甘露消毒丹</t>
  </si>
  <si>
    <t>连朴饮</t>
  </si>
  <si>
    <t>二妙散</t>
  </si>
  <si>
    <t>五苓散</t>
  </si>
  <si>
    <t>猪苓汤</t>
  </si>
  <si>
    <t>防己黄芪汤</t>
  </si>
  <si>
    <t>真武汤</t>
  </si>
  <si>
    <t>实脾散</t>
  </si>
  <si>
    <t>萆薢分清饮</t>
  </si>
  <si>
    <t>羌活胜湿汤</t>
  </si>
  <si>
    <t>独活寄生汤</t>
  </si>
  <si>
    <t>二陈汤</t>
  </si>
  <si>
    <t>温胆汤</t>
  </si>
  <si>
    <t>清气化痰丸</t>
  </si>
  <si>
    <t>小陷胸汤</t>
  </si>
  <si>
    <t>贝母瓜蒌散</t>
  </si>
  <si>
    <t>三子养亲汤</t>
  </si>
  <si>
    <t>半夏白术天麻汤</t>
  </si>
  <si>
    <t>保和丸</t>
  </si>
  <si>
    <t>枳实导滞丸</t>
  </si>
  <si>
    <t>木香槟榔丸</t>
  </si>
  <si>
    <t>健脾丸</t>
  </si>
  <si>
    <t>乌梅丸</t>
  </si>
  <si>
    <t>麻黄</t>
  </si>
  <si>
    <t>桂枝</t>
  </si>
  <si>
    <t>杏仁</t>
  </si>
  <si>
    <t>芍药</t>
  </si>
  <si>
    <t>生姜</t>
  </si>
  <si>
    <t>大枣</t>
  </si>
  <si>
    <t>羌活</t>
  </si>
  <si>
    <t>防风</t>
  </si>
  <si>
    <t>苍术</t>
  </si>
  <si>
    <t>细辛</t>
  </si>
  <si>
    <t>川芎</t>
  </si>
  <si>
    <t>白芷</t>
  </si>
  <si>
    <t>生地黄</t>
  </si>
  <si>
    <t>黄芩</t>
  </si>
  <si>
    <t>甘草</t>
  </si>
  <si>
    <t>干姜</t>
  </si>
  <si>
    <t>半夏</t>
  </si>
  <si>
    <t>五味子</t>
  </si>
  <si>
    <t>石膏</t>
  </si>
  <si>
    <t>桔梗</t>
  </si>
  <si>
    <t>荆芥</t>
  </si>
  <si>
    <t>紫苑</t>
  </si>
  <si>
    <t>百部</t>
  </si>
  <si>
    <t>白前</t>
  </si>
  <si>
    <t>陈皮</t>
  </si>
  <si>
    <t>连翘</t>
  </si>
  <si>
    <t>银花</t>
  </si>
  <si>
    <t>薄荷</t>
  </si>
  <si>
    <t>竹叶</t>
  </si>
  <si>
    <t>荆芥穗</t>
  </si>
  <si>
    <t>淡豆豉</t>
  </si>
  <si>
    <t>牛蒡子</t>
  </si>
  <si>
    <t>鲜苇根</t>
  </si>
  <si>
    <t>桑叶</t>
  </si>
  <si>
    <t>菊花</t>
  </si>
  <si>
    <t>苇根</t>
  </si>
  <si>
    <t>柴胡</t>
  </si>
  <si>
    <t>葛根</t>
  </si>
  <si>
    <t>前胡</t>
  </si>
  <si>
    <t>枳壳</t>
  </si>
  <si>
    <t>独活</t>
  </si>
  <si>
    <t>茯苓</t>
  </si>
  <si>
    <t>人参</t>
  </si>
  <si>
    <t>紫苏叶</t>
  </si>
  <si>
    <t>干葛</t>
  </si>
  <si>
    <t>木香</t>
  </si>
  <si>
    <t>姜汁</t>
  </si>
  <si>
    <t>大黄</t>
  </si>
  <si>
    <t>厚朴</t>
  </si>
  <si>
    <t>枳实</t>
  </si>
  <si>
    <t>芒硝</t>
  </si>
  <si>
    <t>牡丹皮</t>
  </si>
  <si>
    <t>桃仁</t>
  </si>
  <si>
    <t>冬瓜子</t>
  </si>
  <si>
    <t>甘遂</t>
  </si>
  <si>
    <t>附子</t>
  </si>
  <si>
    <t>当归</t>
  </si>
  <si>
    <t>麻子仁</t>
  </si>
  <si>
    <t>蜂蜜</t>
  </si>
  <si>
    <t>牛膝</t>
  </si>
  <si>
    <t>肉苁蓉</t>
  </si>
  <si>
    <t>泽泻</t>
  </si>
  <si>
    <t>升麻</t>
  </si>
  <si>
    <t>芫花</t>
  </si>
  <si>
    <t>大戟</t>
  </si>
  <si>
    <t>青蒿</t>
  </si>
  <si>
    <t>竹茹</t>
  </si>
  <si>
    <t>滑石</t>
  </si>
  <si>
    <t>青黛</t>
  </si>
  <si>
    <t>白芍</t>
  </si>
  <si>
    <t>白术</t>
  </si>
  <si>
    <t>黄连</t>
  </si>
  <si>
    <t>知母</t>
  </si>
  <si>
    <t>粳米</t>
  </si>
  <si>
    <t>麦门冬</t>
  </si>
  <si>
    <t>犀角</t>
  </si>
  <si>
    <t>元参</t>
  </si>
  <si>
    <t>竹叶心</t>
  </si>
  <si>
    <t>麦冬</t>
  </si>
  <si>
    <t>丹参</t>
  </si>
  <si>
    <t>赤芍药</t>
  </si>
  <si>
    <t>黄柏</t>
  </si>
  <si>
    <t>栀子</t>
  </si>
  <si>
    <t>山栀子仁</t>
  </si>
  <si>
    <t>蜜</t>
  </si>
  <si>
    <t>玄参</t>
  </si>
  <si>
    <t>板蓝根</t>
  </si>
  <si>
    <t>马勃</t>
  </si>
  <si>
    <t>僵蚕</t>
  </si>
  <si>
    <t>贝母</t>
  </si>
  <si>
    <t>赤芍</t>
  </si>
  <si>
    <t>生归尾</t>
  </si>
  <si>
    <t>甘草节</t>
  </si>
  <si>
    <t>皂角刺</t>
  </si>
  <si>
    <t>穿山甲</t>
  </si>
  <si>
    <t>天花粉</t>
  </si>
  <si>
    <t>乳香</t>
  </si>
  <si>
    <t>没药</t>
  </si>
  <si>
    <t>金银花</t>
  </si>
  <si>
    <t>木通</t>
  </si>
  <si>
    <t>龙胆草</t>
  </si>
  <si>
    <t>车前子</t>
  </si>
  <si>
    <t>吴茱萸</t>
  </si>
  <si>
    <t>苇茎</t>
  </si>
  <si>
    <t>薏苡仁</t>
  </si>
  <si>
    <t>瓜瓣</t>
  </si>
  <si>
    <t>地骨皮</t>
  </si>
  <si>
    <t>桑白皮</t>
  </si>
  <si>
    <t>当归身</t>
  </si>
  <si>
    <t>熟地</t>
  </si>
  <si>
    <t>槟榔</t>
  </si>
  <si>
    <t>官桂</t>
  </si>
  <si>
    <t>白头翁</t>
  </si>
  <si>
    <t>秦皮</t>
  </si>
  <si>
    <t>鳖甲</t>
  </si>
  <si>
    <t>生地</t>
  </si>
  <si>
    <t>丹皮</t>
  </si>
  <si>
    <t>熟地黄</t>
  </si>
  <si>
    <t>黄芪</t>
  </si>
  <si>
    <t>香薷</t>
  </si>
  <si>
    <t>白扁豆</t>
  </si>
  <si>
    <t>酒</t>
  </si>
  <si>
    <t>西洋参</t>
  </si>
  <si>
    <t>石斛</t>
  </si>
  <si>
    <t>荷梗</t>
  </si>
  <si>
    <t>西瓜翠衣</t>
  </si>
  <si>
    <t>饴糖</t>
  </si>
  <si>
    <t>蜀椒</t>
  </si>
  <si>
    <t>胶饴</t>
  </si>
  <si>
    <t>生附子</t>
  </si>
  <si>
    <t>通草</t>
  </si>
  <si>
    <t>肉桂</t>
  </si>
  <si>
    <t>鹿角胶</t>
  </si>
  <si>
    <t>白芥子</t>
  </si>
  <si>
    <t>姜炭</t>
  </si>
  <si>
    <t>山栀</t>
  </si>
  <si>
    <t>芒硝石膏</t>
  </si>
  <si>
    <t>莲子肉</t>
  </si>
  <si>
    <t>砂仁</t>
  </si>
  <si>
    <t>扁豆</t>
  </si>
  <si>
    <t>山药</t>
  </si>
  <si>
    <t>橘皮</t>
  </si>
  <si>
    <t>龙眼肉</t>
  </si>
  <si>
    <t>酸枣仁</t>
  </si>
  <si>
    <t>远志</t>
  </si>
  <si>
    <t>阿胶</t>
  </si>
  <si>
    <t>麻仁</t>
  </si>
  <si>
    <t>清酒</t>
  </si>
  <si>
    <t>山茱萸</t>
  </si>
  <si>
    <t>怀熟地</t>
  </si>
  <si>
    <t>炒山药</t>
  </si>
  <si>
    <t>枸杞</t>
  </si>
  <si>
    <t>川牛膝</t>
  </si>
  <si>
    <t>龟板胶</t>
  </si>
  <si>
    <t>菟丝子</t>
  </si>
  <si>
    <t>龟板</t>
  </si>
  <si>
    <t>猪脊髓</t>
  </si>
  <si>
    <t>百合</t>
  </si>
  <si>
    <t>川楝子</t>
  </si>
  <si>
    <t>枸杞子</t>
  </si>
  <si>
    <t>沙参</t>
  </si>
  <si>
    <t>干地黄</t>
  </si>
  <si>
    <t>炮附子</t>
  </si>
  <si>
    <t>杜仲</t>
  </si>
  <si>
    <t>制附子</t>
  </si>
  <si>
    <t>熟干地黄</t>
  </si>
  <si>
    <t>巴戟天</t>
  </si>
  <si>
    <t>菖蒲</t>
  </si>
  <si>
    <t>麻黄根</t>
  </si>
  <si>
    <t>煅牡蛎</t>
  </si>
  <si>
    <t>款冬花</t>
  </si>
  <si>
    <t>乌梅</t>
  </si>
  <si>
    <t>罂粟壳</t>
  </si>
  <si>
    <t>肉豆蔻</t>
  </si>
  <si>
    <t>诃子</t>
  </si>
  <si>
    <t>补骨脂</t>
  </si>
  <si>
    <t>桑螵蛸</t>
  </si>
  <si>
    <t>龙骨</t>
  </si>
  <si>
    <t>茯神</t>
  </si>
  <si>
    <t>龟甲</t>
  </si>
  <si>
    <t>生黄芪</t>
  </si>
  <si>
    <t>煅龙骨</t>
  </si>
  <si>
    <t>山萸肉</t>
  </si>
  <si>
    <t>生杭芍</t>
  </si>
  <si>
    <t>海螵蛸</t>
  </si>
  <si>
    <t>茜草</t>
  </si>
  <si>
    <t>棕边炭</t>
  </si>
  <si>
    <t>五倍子</t>
  </si>
  <si>
    <t>炒黄芩</t>
  </si>
  <si>
    <t>炙龟板</t>
  </si>
  <si>
    <t>椿树根皮</t>
  </si>
  <si>
    <t>香附</t>
  </si>
  <si>
    <t>炒芡实</t>
  </si>
  <si>
    <t>白果</t>
  </si>
  <si>
    <t>朱砂</t>
  </si>
  <si>
    <t>天门冬</t>
  </si>
  <si>
    <t>柏子仁</t>
  </si>
  <si>
    <t>青木香</t>
  </si>
  <si>
    <t>诃黎勒</t>
  </si>
  <si>
    <t>白檀香</t>
  </si>
  <si>
    <t>安息香</t>
  </si>
  <si>
    <t>沉香</t>
  </si>
  <si>
    <t>麝香</t>
  </si>
  <si>
    <t>丁香</t>
  </si>
  <si>
    <t>荜茇</t>
  </si>
  <si>
    <t>苏合香</t>
  </si>
  <si>
    <t>神曲</t>
  </si>
  <si>
    <t>苏叶</t>
  </si>
  <si>
    <t>草豆蔻仁</t>
  </si>
  <si>
    <t>乌药</t>
  </si>
  <si>
    <t>小茴香</t>
  </si>
  <si>
    <t>青皮</t>
  </si>
  <si>
    <t>高良姜</t>
  </si>
  <si>
    <t>巴豆</t>
  </si>
  <si>
    <t>苏子</t>
  </si>
  <si>
    <t>旋覆花</t>
  </si>
  <si>
    <t>代赭石</t>
  </si>
  <si>
    <t>红花</t>
  </si>
  <si>
    <t>当归尾</t>
  </si>
  <si>
    <t>地龙</t>
  </si>
  <si>
    <t>瓜蒌根</t>
  </si>
  <si>
    <t>炮穿山甲</t>
  </si>
  <si>
    <t>全当归</t>
  </si>
  <si>
    <t>炮干姜</t>
  </si>
  <si>
    <t>五灵脂</t>
  </si>
  <si>
    <t>炒蒲黄</t>
  </si>
  <si>
    <t>白蜜</t>
  </si>
  <si>
    <t>瓜蒌仁</t>
  </si>
  <si>
    <t>海粉</t>
  </si>
  <si>
    <t>炒山栀子</t>
  </si>
  <si>
    <t>小蓟</t>
  </si>
  <si>
    <t>蒲黄</t>
  </si>
  <si>
    <t>藕节</t>
  </si>
  <si>
    <t>淡竹叶</t>
  </si>
  <si>
    <t>山栀子</t>
  </si>
  <si>
    <t>炒槐花</t>
  </si>
  <si>
    <t>侧柏叶</t>
  </si>
  <si>
    <t>炒枳壳</t>
  </si>
  <si>
    <t>炒心黄土</t>
  </si>
  <si>
    <t>茶</t>
  </si>
  <si>
    <t>秦艽</t>
  </si>
  <si>
    <t>白芍药</t>
  </si>
  <si>
    <t>白茯苓</t>
  </si>
  <si>
    <t>川羌活</t>
  </si>
  <si>
    <t>川独活</t>
  </si>
  <si>
    <t>川乌</t>
  </si>
  <si>
    <t>草乌</t>
  </si>
  <si>
    <t>天南星</t>
  </si>
  <si>
    <t>全蝎</t>
  </si>
  <si>
    <t>白附子</t>
  </si>
  <si>
    <t>热酒</t>
  </si>
  <si>
    <t>蝉蜕</t>
  </si>
  <si>
    <t>苦参</t>
  </si>
  <si>
    <t>胡麻</t>
  </si>
  <si>
    <t>羚羊角</t>
  </si>
  <si>
    <t>霜桑叶</t>
  </si>
  <si>
    <t>京川贝</t>
  </si>
  <si>
    <t>鲜生地</t>
  </si>
  <si>
    <t>双钩藤</t>
  </si>
  <si>
    <t>滁菊花</t>
  </si>
  <si>
    <t>茯神木</t>
  </si>
  <si>
    <t>生白芍</t>
  </si>
  <si>
    <t>怀牛膝</t>
  </si>
  <si>
    <t>生赭石</t>
  </si>
  <si>
    <t>生龙骨</t>
  </si>
  <si>
    <t>生牡蛎</t>
  </si>
  <si>
    <t>生龟板</t>
  </si>
  <si>
    <t>天冬</t>
  </si>
  <si>
    <t>生麦芽</t>
  </si>
  <si>
    <t>茵陈</t>
  </si>
  <si>
    <t>天麻</t>
  </si>
  <si>
    <t>钩藤</t>
  </si>
  <si>
    <t>石决明</t>
  </si>
  <si>
    <t>益母草</t>
  </si>
  <si>
    <t>桑寄生</t>
  </si>
  <si>
    <t>夜交藤</t>
  </si>
  <si>
    <t>朱茯神</t>
  </si>
  <si>
    <t>鸡子黄</t>
  </si>
  <si>
    <t>香豉</t>
  </si>
  <si>
    <t>栀皮</t>
  </si>
  <si>
    <t>梨皮</t>
  </si>
  <si>
    <t>象贝</t>
  </si>
  <si>
    <t>胡麻仁</t>
  </si>
  <si>
    <t>枇把叶</t>
  </si>
  <si>
    <t>生鸡内金</t>
  </si>
  <si>
    <t>大腹皮</t>
  </si>
  <si>
    <t>紫苏</t>
  </si>
  <si>
    <t>半夏曲</t>
  </si>
  <si>
    <t>藿香</t>
  </si>
  <si>
    <t>茵陈蒿</t>
  </si>
  <si>
    <t>瞿麦</t>
  </si>
  <si>
    <t>萹蓄</t>
  </si>
  <si>
    <t>煨大黄</t>
  </si>
  <si>
    <t>灯心草</t>
  </si>
  <si>
    <t>白蔻仁</t>
  </si>
  <si>
    <t>飞滑石</t>
  </si>
  <si>
    <t>绵茵陈</t>
  </si>
  <si>
    <t>淡黄芩</t>
  </si>
  <si>
    <t>石菖蒲</t>
  </si>
  <si>
    <t>川贝母</t>
  </si>
  <si>
    <t>白豆蔻</t>
  </si>
  <si>
    <t>射干</t>
  </si>
  <si>
    <t>制厚朴</t>
  </si>
  <si>
    <t>炒川连</t>
  </si>
  <si>
    <t>制半夏</t>
  </si>
  <si>
    <t>焦栀</t>
  </si>
  <si>
    <t>芦根</t>
  </si>
  <si>
    <t>猪苓</t>
  </si>
  <si>
    <t>防己</t>
  </si>
  <si>
    <t>木瓜</t>
  </si>
  <si>
    <t>草果</t>
  </si>
  <si>
    <t>大腹子</t>
  </si>
  <si>
    <t>益智</t>
  </si>
  <si>
    <t>川萆薢</t>
  </si>
  <si>
    <t>藁本</t>
  </si>
  <si>
    <t>蔓荆子</t>
  </si>
  <si>
    <t>肉桂心</t>
  </si>
  <si>
    <t>橘红</t>
  </si>
  <si>
    <t>炒枳实</t>
  </si>
  <si>
    <t>瓜蒌实</t>
  </si>
  <si>
    <t>瓜蒌</t>
  </si>
  <si>
    <t>紫苏子</t>
  </si>
  <si>
    <t>莱菔子</t>
  </si>
  <si>
    <t>山楂</t>
  </si>
  <si>
    <t>炒神曲</t>
  </si>
  <si>
    <t>炒白术</t>
  </si>
  <si>
    <t>酒炒黄连</t>
  </si>
  <si>
    <t>炒麦芽</t>
  </si>
  <si>
    <t>煨肉豆蔻</t>
  </si>
  <si>
    <t>完带汤</t>
  </si>
  <si>
    <t>苓甘五味姜辛汤</t>
  </si>
  <si>
    <t>苓桂术甘汤</t>
  </si>
  <si>
    <t>黑荆芥</t>
  </si>
  <si>
    <t>胆南星</t>
  </si>
  <si>
    <t>甘草梢</t>
  </si>
  <si>
    <t>炙甘草汤</t>
    <phoneticPr fontId="1" type="noConversion"/>
  </si>
  <si>
    <t>薤白</t>
  </si>
  <si>
    <t>白酒</t>
  </si>
  <si>
    <t>白酒</t>
    <phoneticPr fontId="1" type="noConversion"/>
  </si>
  <si>
    <t>莪术</t>
  </si>
  <si>
    <t>牵牛</t>
  </si>
  <si>
    <t>瓜蒌实</t>
    <phoneticPr fontId="1" type="noConversion"/>
  </si>
  <si>
    <t>酒</t>
    <phoneticPr fontId="1" type="noConversion"/>
  </si>
  <si>
    <t>苏叶</t>
    <phoneticPr fontId="1" type="noConversion"/>
  </si>
  <si>
    <t>白芷川乌</t>
  </si>
  <si>
    <t>所有</t>
    <phoneticPr fontId="1" type="noConversion"/>
  </si>
  <si>
    <t>次数</t>
    <phoneticPr fontId="1" type="noConversion"/>
  </si>
  <si>
    <t>1 甘草</t>
  </si>
  <si>
    <t>1 甘草节</t>
  </si>
  <si>
    <t>1 甘草梢</t>
  </si>
  <si>
    <t>2 生姜</t>
  </si>
  <si>
    <t>烧2 生姜</t>
  </si>
  <si>
    <t>麻黄杏仁甘草石膏汤</t>
    <phoneticPr fontId="1" type="noConversion"/>
  </si>
  <si>
    <t>3 大枣</t>
  </si>
  <si>
    <t>4 人参</t>
  </si>
  <si>
    <t>5 半夏</t>
  </si>
  <si>
    <t>制半夏</t>
    <phoneticPr fontId="1" type="noConversion"/>
  </si>
  <si>
    <t>半夏曲</t>
    <phoneticPr fontId="1" type="noConversion"/>
  </si>
  <si>
    <t>2 生姜</t>
    <phoneticPr fontId="1" type="noConversion"/>
  </si>
  <si>
    <t>6 茯苓</t>
  </si>
  <si>
    <t>白6 茯苓</t>
  </si>
  <si>
    <t>7 当归</t>
  </si>
  <si>
    <t>7 当归身</t>
  </si>
  <si>
    <t>7 当归尾</t>
  </si>
  <si>
    <t>全7 当归</t>
  </si>
  <si>
    <t>8 白术</t>
  </si>
  <si>
    <t>炒8 白术</t>
  </si>
  <si>
    <t>总</t>
    <phoneticPr fontId="1" type="noConversion"/>
  </si>
  <si>
    <t>保导</t>
    <phoneticPr fontId="1" type="noConversion"/>
  </si>
  <si>
    <t>化滞</t>
    <phoneticPr fontId="1" type="noConversion"/>
  </si>
  <si>
    <t>健脾丸</t>
    <phoneticPr fontId="1" type="noConversion"/>
  </si>
  <si>
    <t>泻</t>
    <phoneticPr fontId="1" type="noConversion"/>
  </si>
  <si>
    <t>保和丸</t>
    <phoneticPr fontId="1" type="noConversion"/>
  </si>
  <si>
    <t>枳实导滞丸</t>
    <phoneticPr fontId="1" type="noConversion"/>
  </si>
  <si>
    <t>热 湿</t>
    <phoneticPr fontId="1" type="noConversion"/>
  </si>
  <si>
    <t>久泻久利</t>
    <phoneticPr fontId="1" type="noConversion"/>
  </si>
  <si>
    <t>寒热</t>
    <phoneticPr fontId="1" type="noConversion"/>
  </si>
  <si>
    <t>苇茎汤</t>
    <phoneticPr fontId="1" type="noConversion"/>
  </si>
  <si>
    <t>阳和汤</t>
    <phoneticPr fontId="1" type="noConversion"/>
  </si>
  <si>
    <t>仙方活命饮</t>
    <phoneticPr fontId="1" type="noConversion"/>
  </si>
  <si>
    <t>解表清里</t>
    <phoneticPr fontId="1" type="noConversion"/>
  </si>
  <si>
    <t>解表攻里</t>
    <phoneticPr fontId="1" type="noConversion"/>
  </si>
  <si>
    <t>朱砂安神丸</t>
    <phoneticPr fontId="1" type="noConversion"/>
  </si>
  <si>
    <t>天王补心丹</t>
    <phoneticPr fontId="1" type="noConversion"/>
  </si>
  <si>
    <t>酸枣仁汤</t>
    <phoneticPr fontId="1" type="noConversion"/>
  </si>
  <si>
    <t>胸中懊恼</t>
    <phoneticPr fontId="1" type="noConversion"/>
  </si>
  <si>
    <t>健忘梦遗 口舌生疮</t>
    <phoneticPr fontId="1" type="noConversion"/>
  </si>
  <si>
    <t>头晕目眩</t>
    <phoneticPr fontId="1" type="noConversion"/>
  </si>
  <si>
    <t>风 热</t>
    <phoneticPr fontId="1" type="noConversion"/>
  </si>
  <si>
    <t>苏合香丸</t>
    <phoneticPr fontId="1" type="noConversion"/>
  </si>
  <si>
    <t>安宫牛黄丸</t>
    <phoneticPr fontId="1" type="noConversion"/>
  </si>
  <si>
    <t>紫雪散</t>
    <phoneticPr fontId="1" type="noConversion"/>
  </si>
  <si>
    <t>至宝丹</t>
    <phoneticPr fontId="1" type="noConversion"/>
  </si>
  <si>
    <t>风 痉</t>
    <phoneticPr fontId="1" type="noConversion"/>
  </si>
  <si>
    <t>冷昏迷</t>
    <phoneticPr fontId="1" type="noConversion"/>
  </si>
  <si>
    <t>痰 浊</t>
    <phoneticPr fontId="1" type="noConversion"/>
  </si>
  <si>
    <t>三四校童鞋好菜拌蟹</t>
    <phoneticPr fontId="1" type="noConversion"/>
  </si>
  <si>
    <t>散 逍 痛泻 蒿柴 半泻</t>
    <phoneticPr fontId="1" type="noConversion"/>
  </si>
  <si>
    <t>胆 胃 痰 湿</t>
    <phoneticPr fontId="1" type="noConversion"/>
  </si>
  <si>
    <t>透邪 淤</t>
    <phoneticPr fontId="1" type="noConversion"/>
  </si>
  <si>
    <t>湿 泻</t>
    <phoneticPr fontId="1" type="noConversion"/>
  </si>
  <si>
    <t>呕</t>
    <phoneticPr fontId="1" type="noConversion"/>
  </si>
  <si>
    <t>脾胃虚寒 失血 胸痹 霍乱 慢惊 沫</t>
    <phoneticPr fontId="1" type="noConversion"/>
  </si>
  <si>
    <t>活血 补5 温 笑 桂苓 淤 复</t>
    <phoneticPr fontId="1" type="noConversion"/>
  </si>
  <si>
    <t>杏苏散</t>
    <phoneticPr fontId="1" type="noConversion"/>
  </si>
  <si>
    <t>桑杏汤</t>
    <phoneticPr fontId="1" type="noConversion"/>
  </si>
  <si>
    <t>清燥救肺汤</t>
    <phoneticPr fontId="1" type="noConversion"/>
  </si>
  <si>
    <t>增液汤</t>
    <phoneticPr fontId="1" type="noConversion"/>
  </si>
  <si>
    <t>玉液汤</t>
    <phoneticPr fontId="1" type="noConversion"/>
  </si>
  <si>
    <t>麦门冬汤</t>
    <phoneticPr fontId="1" type="noConversion"/>
  </si>
  <si>
    <t>百合固金汤</t>
    <phoneticPr fontId="1" type="noConversion"/>
  </si>
  <si>
    <t>早起 win7 泄气</t>
    <phoneticPr fontId="1" type="noConversion"/>
  </si>
  <si>
    <t>肺痿</t>
    <phoneticPr fontId="1" type="noConversion"/>
  </si>
  <si>
    <t>肺痨</t>
    <phoneticPr fontId="1" type="noConversion"/>
  </si>
  <si>
    <t>肿 肾</t>
    <phoneticPr fontId="1" type="noConversion"/>
  </si>
  <si>
    <t>阳明腑实 热结旁流 热厥</t>
    <phoneticPr fontId="1" type="noConversion"/>
  </si>
  <si>
    <t>大黄 芒硝</t>
    <phoneticPr fontId="1" type="noConversion"/>
  </si>
  <si>
    <t>三子养亲汤</t>
    <phoneticPr fontId="1" type="noConversion"/>
  </si>
  <si>
    <t>苓甘五味羌活汤</t>
    <phoneticPr fontId="1" type="noConversion"/>
  </si>
  <si>
    <t>清气化痰丸</t>
    <phoneticPr fontId="1" type="noConversion"/>
  </si>
  <si>
    <t>小陷胸汤</t>
    <phoneticPr fontId="1" type="noConversion"/>
  </si>
  <si>
    <t>半夏白术天麻汤</t>
    <phoneticPr fontId="1" type="noConversion"/>
  </si>
  <si>
    <t>贝母瓜蒌散</t>
    <phoneticPr fontId="1" type="noConversion"/>
  </si>
  <si>
    <t>二陈汤</t>
    <phoneticPr fontId="1" type="noConversion"/>
  </si>
  <si>
    <t>温胆汤</t>
    <phoneticPr fontId="1" type="noConversion"/>
  </si>
  <si>
    <t>食</t>
    <phoneticPr fontId="1" type="noConversion"/>
  </si>
  <si>
    <t>清气</t>
    <phoneticPr fontId="1" type="noConversion"/>
  </si>
  <si>
    <t>清热理气</t>
    <phoneticPr fontId="1" type="noConversion"/>
  </si>
  <si>
    <t>宽胸</t>
    <phoneticPr fontId="1" type="noConversion"/>
  </si>
  <si>
    <t>理气和中</t>
    <phoneticPr fontId="1" type="noConversion"/>
  </si>
  <si>
    <t>敛肺止咳</t>
    <phoneticPr fontId="1" type="noConversion"/>
  </si>
  <si>
    <t>涩肠固脱</t>
    <phoneticPr fontId="1" type="noConversion"/>
  </si>
  <si>
    <t>涩精止遗</t>
    <phoneticPr fontId="1" type="noConversion"/>
  </si>
  <si>
    <t>固崩止带</t>
    <phoneticPr fontId="1" type="noConversion"/>
  </si>
  <si>
    <t>牡蛎散</t>
    <phoneticPr fontId="1" type="noConversion"/>
  </si>
  <si>
    <t>九仙散</t>
    <phoneticPr fontId="1" type="noConversion"/>
  </si>
  <si>
    <t>真人养脏汤</t>
    <phoneticPr fontId="1" type="noConversion"/>
  </si>
  <si>
    <t>四神丸</t>
    <phoneticPr fontId="1" type="noConversion"/>
  </si>
  <si>
    <t>桑螵蛸散</t>
    <phoneticPr fontId="1" type="noConversion"/>
  </si>
  <si>
    <t>易黄汤</t>
    <phoneticPr fontId="1" type="noConversion"/>
  </si>
  <si>
    <t>固冲汤</t>
    <phoneticPr fontId="1" type="noConversion"/>
  </si>
  <si>
    <t>固经丸</t>
    <phoneticPr fontId="1" type="noConversion"/>
  </si>
  <si>
    <t>旋覆代赭汤</t>
    <phoneticPr fontId="1" type="noConversion"/>
  </si>
  <si>
    <t>定喘汤</t>
    <phoneticPr fontId="1" type="noConversion"/>
  </si>
  <si>
    <t>都痰</t>
    <phoneticPr fontId="1" type="noConversion"/>
  </si>
  <si>
    <t>苏子降气汤</t>
    <phoneticPr fontId="1" type="noConversion"/>
  </si>
  <si>
    <t>无要问候 夏后白瓜桔才熟</t>
    <phoneticPr fontId="1" type="noConversion"/>
  </si>
  <si>
    <t>乌药 厚温 夏后瓜白鞠柴疏</t>
    <phoneticPr fontId="1" type="noConversion"/>
  </si>
  <si>
    <t>天台乌药散</t>
    <phoneticPr fontId="1" type="noConversion"/>
  </si>
  <si>
    <t>厚朴温中汤</t>
    <phoneticPr fontId="1" type="noConversion"/>
  </si>
  <si>
    <t>半夏厚朴汤</t>
    <phoneticPr fontId="1" type="noConversion"/>
  </si>
  <si>
    <t>瓜蒌薤白白酒汤</t>
    <phoneticPr fontId="1" type="noConversion"/>
  </si>
  <si>
    <t>柴胡疏肝散</t>
    <phoneticPr fontId="1" type="noConversion"/>
  </si>
  <si>
    <t>越鞠丸</t>
    <phoneticPr fontId="1" type="noConversion"/>
  </si>
  <si>
    <t>肝气郁滞</t>
    <phoneticPr fontId="1" type="noConversion"/>
  </si>
  <si>
    <t>梅核气</t>
  </si>
  <si>
    <t>石灰值几棵黄花</t>
    <phoneticPr fontId="1" type="noConversion"/>
  </si>
  <si>
    <t xml:space="preserve">十灰 止 蓟 咳 槐 </t>
    <phoneticPr fontId="1" type="noConversion"/>
  </si>
  <si>
    <t>十灰散</t>
    <phoneticPr fontId="1" type="noConversion"/>
  </si>
  <si>
    <t>小蓟饮子</t>
    <phoneticPr fontId="1" type="noConversion"/>
  </si>
  <si>
    <t>咳血方</t>
    <phoneticPr fontId="1" type="noConversion"/>
  </si>
  <si>
    <t>黄土汤</t>
    <phoneticPr fontId="1" type="noConversion"/>
  </si>
  <si>
    <t>槐花散</t>
    <phoneticPr fontId="1" type="noConversion"/>
  </si>
  <si>
    <t>宁肺</t>
    <phoneticPr fontId="1" type="noConversion"/>
  </si>
  <si>
    <t>咳尿便血</t>
    <phoneticPr fontId="1" type="noConversion"/>
  </si>
  <si>
    <t>便</t>
    <phoneticPr fontId="1" type="noConversion"/>
  </si>
  <si>
    <t>便前</t>
    <phoneticPr fontId="1" type="noConversion"/>
  </si>
  <si>
    <t>便后</t>
    <phoneticPr fontId="1" type="noConversion"/>
  </si>
  <si>
    <t>补阳还五汤</t>
    <phoneticPr fontId="1" type="noConversion"/>
  </si>
  <si>
    <t>温经汤</t>
    <phoneticPr fontId="1" type="noConversion"/>
  </si>
  <si>
    <t>生化汤</t>
    <phoneticPr fontId="1" type="noConversion"/>
  </si>
  <si>
    <t>失笑散</t>
    <phoneticPr fontId="1" type="noConversion"/>
  </si>
  <si>
    <t>桂枝茯苓丸</t>
    <phoneticPr fontId="1" type="noConversion"/>
  </si>
  <si>
    <t>桃核承气汤</t>
    <phoneticPr fontId="1" type="noConversion"/>
  </si>
  <si>
    <t>血府逐瘀汤</t>
    <phoneticPr fontId="1" type="noConversion"/>
  </si>
  <si>
    <t>复元活血汤</t>
    <phoneticPr fontId="1" type="noConversion"/>
  </si>
  <si>
    <t>结 痛</t>
    <phoneticPr fontId="1" type="noConversion"/>
  </si>
  <si>
    <t>温经 痛</t>
    <phoneticPr fontId="1" type="noConversion"/>
  </si>
  <si>
    <t>炮干姜</t>
    <phoneticPr fontId="1" type="noConversion"/>
  </si>
  <si>
    <t>产前</t>
    <phoneticPr fontId="1" type="noConversion"/>
  </si>
  <si>
    <t>泻热</t>
    <phoneticPr fontId="1" type="noConversion"/>
  </si>
  <si>
    <t>少腹急结 泻下</t>
    <phoneticPr fontId="1" type="noConversion"/>
  </si>
  <si>
    <t>产后</t>
    <phoneticPr fontId="1" type="noConversion"/>
  </si>
  <si>
    <t>四君子汤</t>
    <phoneticPr fontId="1" type="noConversion"/>
  </si>
  <si>
    <t>参苓白术散</t>
    <phoneticPr fontId="1" type="noConversion"/>
  </si>
  <si>
    <t>补中益气汤</t>
    <phoneticPr fontId="1" type="noConversion"/>
  </si>
  <si>
    <t>生脉散</t>
    <phoneticPr fontId="1" type="noConversion"/>
  </si>
  <si>
    <t>玉屏风散</t>
    <phoneticPr fontId="1" type="noConversion"/>
  </si>
  <si>
    <t>举</t>
    <phoneticPr fontId="1" type="noConversion"/>
  </si>
  <si>
    <t>气阴两虚</t>
    <phoneticPr fontId="1" type="noConversion"/>
  </si>
  <si>
    <t>益气 敛阴</t>
    <phoneticPr fontId="1" type="noConversion"/>
  </si>
  <si>
    <t>四物汤</t>
    <phoneticPr fontId="1" type="noConversion"/>
  </si>
  <si>
    <t>调血</t>
    <phoneticPr fontId="1" type="noConversion"/>
  </si>
  <si>
    <t>当归补血汤</t>
    <phoneticPr fontId="1" type="noConversion"/>
  </si>
  <si>
    <t>生血</t>
    <phoneticPr fontId="1" type="noConversion"/>
  </si>
  <si>
    <t>归脾汤</t>
    <phoneticPr fontId="1" type="noConversion"/>
  </si>
  <si>
    <t>八珍汤</t>
    <phoneticPr fontId="1" type="noConversion"/>
  </si>
  <si>
    <t>通阳复脉</t>
    <phoneticPr fontId="1" type="noConversion"/>
  </si>
  <si>
    <t>大补阴丸</t>
    <phoneticPr fontId="1" type="noConversion"/>
  </si>
  <si>
    <t>一贯煎</t>
    <phoneticPr fontId="1" type="noConversion"/>
  </si>
  <si>
    <t>六味地黄丸</t>
    <phoneticPr fontId="1" type="noConversion"/>
  </si>
  <si>
    <t>左归丸</t>
    <phoneticPr fontId="1" type="noConversion"/>
  </si>
  <si>
    <t>右归丸</t>
    <phoneticPr fontId="1" type="noConversion"/>
  </si>
  <si>
    <t>肾气丸</t>
    <phoneticPr fontId="1" type="noConversion"/>
  </si>
  <si>
    <t>疝气</t>
    <phoneticPr fontId="1" type="noConversion"/>
  </si>
  <si>
    <t>填精益髓</t>
    <phoneticPr fontId="1" type="noConversion"/>
  </si>
  <si>
    <t>地黄饮子</t>
    <phoneticPr fontId="1" type="noConversion"/>
  </si>
  <si>
    <t>开窍化痰</t>
    <phoneticPr fontId="1" type="noConversion"/>
  </si>
  <si>
    <t>独活寄生汤</t>
    <phoneticPr fontId="1" type="noConversion"/>
  </si>
  <si>
    <t>羌活胜湿汤</t>
    <phoneticPr fontId="1" type="noConversion"/>
  </si>
  <si>
    <t>肝肾 气血</t>
    <phoneticPr fontId="1" type="noConversion"/>
  </si>
  <si>
    <t>生</t>
    <phoneticPr fontId="1" type="noConversion"/>
  </si>
  <si>
    <t>生: 寄生 产后 肾</t>
    <phoneticPr fontId="1" type="noConversion"/>
  </si>
  <si>
    <t>五苓散</t>
    <phoneticPr fontId="1" type="noConversion"/>
  </si>
  <si>
    <t>猪苓汤</t>
    <phoneticPr fontId="1" type="noConversion"/>
  </si>
  <si>
    <t>防己黄芪汤</t>
    <phoneticPr fontId="1" type="noConversion"/>
  </si>
  <si>
    <t>血 淋 水热互结</t>
    <phoneticPr fontId="1" type="noConversion"/>
  </si>
  <si>
    <t>~ 玉屏风</t>
    <phoneticPr fontId="1" type="noConversion"/>
  </si>
  <si>
    <t>萆薢分清饮</t>
    <phoneticPr fontId="1" type="noConversion"/>
  </si>
  <si>
    <t>完带汤</t>
    <phoneticPr fontId="1" type="noConversion"/>
  </si>
  <si>
    <t>止带</t>
    <phoneticPr fontId="1" type="noConversion"/>
  </si>
  <si>
    <t>藿香正气散</t>
    <phoneticPr fontId="1" type="noConversion"/>
  </si>
  <si>
    <t>平胃散</t>
    <phoneticPr fontId="1" type="noConversion"/>
  </si>
  <si>
    <t>气 胃</t>
    <phoneticPr fontId="1" type="noConversion"/>
  </si>
  <si>
    <t>行气和胃</t>
    <phoneticPr fontId="1" type="noConversion"/>
  </si>
  <si>
    <t>苓桂术甘汤</t>
    <phoneticPr fontId="1" type="noConversion"/>
  </si>
  <si>
    <t>真武汤</t>
    <phoneticPr fontId="1" type="noConversion"/>
  </si>
  <si>
    <t>实脾散</t>
    <phoneticPr fontId="1" type="noConversion"/>
  </si>
  <si>
    <t>饮 温</t>
    <phoneticPr fontId="1" type="noConversion"/>
  </si>
  <si>
    <t>脾肾</t>
    <phoneticPr fontId="1" type="noConversion"/>
  </si>
  <si>
    <t>阴水</t>
    <phoneticPr fontId="1" type="noConversion"/>
  </si>
  <si>
    <t>二妙汤</t>
    <phoneticPr fontId="1" type="noConversion"/>
  </si>
  <si>
    <t>三仁汤</t>
    <phoneticPr fontId="1" type="noConversion"/>
  </si>
  <si>
    <t>八正散</t>
    <phoneticPr fontId="1" type="noConversion"/>
  </si>
  <si>
    <t>当归拈痛汤</t>
    <phoneticPr fontId="1" type="noConversion"/>
  </si>
  <si>
    <t>甘露消毒丹</t>
    <phoneticPr fontId="1" type="noConversion"/>
  </si>
  <si>
    <t>茵陈蒿汤</t>
    <phoneticPr fontId="1" type="noConversion"/>
  </si>
  <si>
    <t>连朴饮</t>
    <phoneticPr fontId="1" type="noConversion"/>
  </si>
  <si>
    <t>宣畅</t>
    <phoneticPr fontId="1" type="noConversion"/>
  </si>
  <si>
    <t>风 痛</t>
    <phoneticPr fontId="1" type="noConversion"/>
  </si>
  <si>
    <t>气 中</t>
    <phoneticPr fontId="1" type="noConversion"/>
  </si>
  <si>
    <t>大</t>
    <phoneticPr fontId="1" type="noConversion"/>
  </si>
  <si>
    <t>大热大渴</t>
    <phoneticPr fontId="1" type="noConversion"/>
  </si>
  <si>
    <t>实火</t>
    <phoneticPr fontId="1" type="noConversion"/>
  </si>
  <si>
    <t>没失血 惊必乱</t>
    <phoneticPr fontId="1" type="noConversion"/>
  </si>
  <si>
    <t>补血</t>
    <phoneticPr fontId="1" type="noConversion"/>
  </si>
  <si>
    <t>补气</t>
    <phoneticPr fontId="1" type="noConversion"/>
  </si>
  <si>
    <t>滋阴养血</t>
    <phoneticPr fontId="1" type="noConversion"/>
  </si>
  <si>
    <t>敛肺 -&gt; 咳 -&gt; 补阴</t>
    <phoneticPr fontId="1" type="noConversion"/>
  </si>
  <si>
    <t>固脱</t>
    <phoneticPr fontId="1" type="noConversion"/>
  </si>
  <si>
    <t>固肠</t>
    <phoneticPr fontId="1" type="noConversion"/>
  </si>
  <si>
    <t>都养血滋阴</t>
    <phoneticPr fontId="1" type="noConversion"/>
  </si>
  <si>
    <t>黑白</t>
    <phoneticPr fontId="1" type="noConversion"/>
  </si>
  <si>
    <t>降逆</t>
    <phoneticPr fontId="1" type="noConversion"/>
  </si>
  <si>
    <t>郁</t>
    <phoneticPr fontId="1" type="noConversion"/>
  </si>
  <si>
    <t>湿 除满</t>
    <phoneticPr fontId="1" type="noConversion"/>
  </si>
  <si>
    <t>漫谈肝痛郁结</t>
    <phoneticPr fontId="1" type="noConversion"/>
  </si>
  <si>
    <t>满</t>
    <phoneticPr fontId="1" type="noConversion"/>
  </si>
  <si>
    <t>胸阳不振</t>
    <phoneticPr fontId="1" type="noConversion"/>
  </si>
  <si>
    <t>结</t>
    <phoneticPr fontId="1" type="noConversion"/>
  </si>
  <si>
    <t>散结 痰</t>
    <phoneticPr fontId="1" type="noConversion"/>
  </si>
  <si>
    <t>上实下虚</t>
    <phoneticPr fontId="1" type="noConversion"/>
  </si>
  <si>
    <t>川芎茶调散</t>
    <phoneticPr fontId="1" type="noConversion"/>
  </si>
  <si>
    <t>消风散</t>
    <phoneticPr fontId="1" type="noConversion"/>
  </si>
  <si>
    <t>牵正散</t>
    <phoneticPr fontId="1" type="noConversion"/>
  </si>
  <si>
    <t>大秦艽汤</t>
    <phoneticPr fontId="1" type="noConversion"/>
  </si>
  <si>
    <t>小活络丹</t>
    <phoneticPr fontId="1" type="noConversion"/>
  </si>
  <si>
    <t>镇肝熄风汤</t>
    <phoneticPr fontId="1" type="noConversion"/>
  </si>
  <si>
    <t>羚角钩藤汤</t>
    <phoneticPr fontId="1" type="noConversion"/>
  </si>
  <si>
    <t>大定风珠</t>
    <phoneticPr fontId="1" type="noConversion"/>
  </si>
  <si>
    <t>天麻钩藤饮</t>
    <phoneticPr fontId="1" type="noConversion"/>
  </si>
  <si>
    <t>天平</t>
    <phoneticPr fontId="1" type="noConversion"/>
  </si>
  <si>
    <t>湿疹</t>
    <phoneticPr fontId="1" type="noConversion"/>
  </si>
  <si>
    <t>中风</t>
    <phoneticPr fontId="1" type="noConversion"/>
  </si>
  <si>
    <t>湿痰淤</t>
    <phoneticPr fontId="1" type="noConversion"/>
  </si>
  <si>
    <t>平息收拾315</t>
    <phoneticPr fontId="1" type="noConversion"/>
  </si>
  <si>
    <t>气虚</t>
    <phoneticPr fontId="1" type="noConversion"/>
  </si>
  <si>
    <t>气滞</t>
    <phoneticPr fontId="1" type="noConversion"/>
  </si>
  <si>
    <t>里</t>
    <phoneticPr fontId="1" type="noConversion"/>
  </si>
  <si>
    <t>内科</t>
    <phoneticPr fontId="1" type="noConversion"/>
  </si>
  <si>
    <t>浑身紫斑</t>
    <phoneticPr fontId="1" type="noConversion"/>
  </si>
  <si>
    <t>镇肝</t>
    <phoneticPr fontId="1" type="noConversion"/>
  </si>
  <si>
    <t>凉肝</t>
    <phoneticPr fontId="1" type="noConversion"/>
  </si>
  <si>
    <t>儿科 慢惊风 抽动</t>
    <phoneticPr fontId="1" type="noConversion"/>
  </si>
  <si>
    <t>通络止痉 风 痰</t>
    <phoneticPr fontId="1" type="noConversion"/>
  </si>
  <si>
    <t>痉</t>
  </si>
  <si>
    <t>儿科</t>
    <phoneticPr fontId="1" type="noConversion"/>
  </si>
  <si>
    <t>热 风</t>
    <phoneticPr fontId="1" type="noConversion"/>
  </si>
  <si>
    <t>益气养阴</t>
    <phoneticPr fontId="1" type="noConversion"/>
  </si>
  <si>
    <t>液</t>
    <phoneticPr fontId="1" type="noConversion"/>
  </si>
  <si>
    <t>脾阳</t>
    <phoneticPr fontId="1" type="noConversion"/>
  </si>
  <si>
    <t>肾阳</t>
    <phoneticPr fontId="1" type="noConversion"/>
  </si>
  <si>
    <t>中药</t>
    <phoneticPr fontId="1" type="noConversion"/>
  </si>
  <si>
    <t>~补益 气血阴阳 无血</t>
    <phoneticPr fontId="1" type="noConversion"/>
  </si>
  <si>
    <t>四逆散 逍遥散 痛泻要方</t>
    <phoneticPr fontId="1" type="noConversion"/>
  </si>
  <si>
    <t>血淋 小蓟饮子 石淋 石韦散</t>
    <phoneticPr fontId="1" type="noConversion"/>
  </si>
  <si>
    <t>~ 藿香正气</t>
    <phoneticPr fontId="1" type="noConversion"/>
  </si>
  <si>
    <t>~ 连朴饮</t>
    <phoneticPr fontId="1" type="noConversion"/>
  </si>
  <si>
    <t>饮 食</t>
    <phoneticPr fontId="1" type="noConversion"/>
  </si>
  <si>
    <t>肿 溃</t>
    <phoneticPr fontId="1" type="noConversion"/>
  </si>
  <si>
    <t>脓</t>
    <phoneticPr fontId="1" type="noConversion"/>
  </si>
  <si>
    <t>通滞 杨同志</t>
    <phoneticPr fontId="1" type="noConversion"/>
  </si>
  <si>
    <t>当归四逆汤 通脉</t>
    <phoneticPr fontId="1" type="noConversion"/>
  </si>
  <si>
    <t>感冒</t>
    <phoneticPr fontId="1" type="noConversion"/>
  </si>
  <si>
    <t>咳嗽</t>
    <phoneticPr fontId="1" type="noConversion"/>
  </si>
  <si>
    <t>哮</t>
    <phoneticPr fontId="1" type="noConversion"/>
  </si>
  <si>
    <t>喘</t>
    <phoneticPr fontId="1" type="noConversion"/>
  </si>
  <si>
    <t>心悸</t>
    <phoneticPr fontId="1" type="noConversion"/>
  </si>
  <si>
    <t>不寐</t>
    <phoneticPr fontId="1" type="noConversion"/>
  </si>
  <si>
    <t>胸痹</t>
    <phoneticPr fontId="1" type="noConversion"/>
  </si>
  <si>
    <t>脾胃</t>
    <phoneticPr fontId="1" type="noConversion"/>
  </si>
  <si>
    <t>呕吐</t>
    <phoneticPr fontId="1" type="noConversion"/>
  </si>
  <si>
    <t>便秘</t>
    <phoneticPr fontId="1" type="noConversion"/>
  </si>
  <si>
    <t>肝胆</t>
    <phoneticPr fontId="1" type="noConversion"/>
  </si>
  <si>
    <t>发热恶寒</t>
    <phoneticPr fontId="1" type="noConversion"/>
  </si>
  <si>
    <t>卫表不和</t>
    <phoneticPr fontId="1" type="noConversion"/>
  </si>
  <si>
    <t>治</t>
    <phoneticPr fontId="1" type="noConversion"/>
  </si>
  <si>
    <t>外感</t>
    <phoneticPr fontId="1" type="noConversion"/>
  </si>
  <si>
    <t>体虚</t>
    <phoneticPr fontId="1" type="noConversion"/>
  </si>
  <si>
    <t>风寒</t>
    <phoneticPr fontId="1" type="noConversion"/>
  </si>
  <si>
    <t>荆防达表汤</t>
    <phoneticPr fontId="1" type="noConversion"/>
  </si>
  <si>
    <t>风热</t>
    <phoneticPr fontId="1" type="noConversion"/>
  </si>
  <si>
    <t>暑湿</t>
    <phoneticPr fontId="1" type="noConversion"/>
  </si>
  <si>
    <t>香薷饮</t>
    <phoneticPr fontId="1" type="noConversion"/>
  </si>
  <si>
    <t>阴虚</t>
  </si>
  <si>
    <t>阴虚</t>
    <phoneticPr fontId="1" type="noConversion"/>
  </si>
  <si>
    <t>加减葳蕤汤</t>
    <phoneticPr fontId="1" type="noConversion"/>
  </si>
  <si>
    <t>濡</t>
    <phoneticPr fontId="1" type="noConversion"/>
  </si>
  <si>
    <t>治法</t>
    <phoneticPr fontId="1" type="noConversion"/>
  </si>
  <si>
    <t>少气无力</t>
    <phoneticPr fontId="1" type="noConversion"/>
  </si>
  <si>
    <t>恶寒 &gt; 发热</t>
    <phoneticPr fontId="1" type="noConversion"/>
  </si>
  <si>
    <t>发热 &gt; 恶寒</t>
    <phoneticPr fontId="1" type="noConversion"/>
  </si>
  <si>
    <t>传染 虚实 寒热</t>
    <phoneticPr fontId="1" type="noConversion"/>
  </si>
  <si>
    <t>逆</t>
    <phoneticPr fontId="1" type="noConversion"/>
  </si>
  <si>
    <t>头痛</t>
    <phoneticPr fontId="1" type="noConversion"/>
  </si>
  <si>
    <t>外内 虚实 嗽/痰</t>
    <phoneticPr fontId="1" type="noConversion"/>
  </si>
  <si>
    <t>内伤</t>
    <phoneticPr fontId="1" type="noConversion"/>
  </si>
  <si>
    <t>渴 黄痰</t>
    <phoneticPr fontId="1" type="noConversion"/>
  </si>
  <si>
    <t>表里 恶寒发热 寒热 渴</t>
    <phoneticPr fontId="1" type="noConversion"/>
  </si>
  <si>
    <t>情绪</t>
    <phoneticPr fontId="1" type="noConversion"/>
  </si>
  <si>
    <t>凉 杏苏散
热 桑杏汤</t>
    <phoneticPr fontId="1" type="noConversion"/>
  </si>
  <si>
    <t>沙参麦门冬</t>
    <phoneticPr fontId="1" type="noConversion"/>
  </si>
  <si>
    <t>顺气降火</t>
    <phoneticPr fontId="1" type="noConversion"/>
  </si>
  <si>
    <t>痰多</t>
    <phoneticPr fontId="1" type="noConversion"/>
  </si>
  <si>
    <t>宿痰</t>
    <phoneticPr fontId="1" type="noConversion"/>
  </si>
  <si>
    <t>内外因 外邪 + 宿痰</t>
    <phoneticPr fontId="1" type="noConversion"/>
  </si>
  <si>
    <t>发作</t>
    <phoneticPr fontId="1" type="noConversion"/>
  </si>
  <si>
    <t>冷</t>
    <phoneticPr fontId="1" type="noConversion"/>
  </si>
  <si>
    <t>缓解</t>
    <phoneticPr fontId="1" type="noConversion"/>
  </si>
  <si>
    <t>喉中水滴声 形寒肢冷</t>
    <phoneticPr fontId="1" type="noConversion"/>
  </si>
  <si>
    <t xml:space="preserve">方 </t>
    <phoneticPr fontId="1" type="noConversion"/>
  </si>
  <si>
    <t>渴 滑 数</t>
    <phoneticPr fontId="1" type="noConversion"/>
  </si>
  <si>
    <t>肺脾</t>
    <phoneticPr fontId="1" type="noConversion"/>
  </si>
  <si>
    <t>射干麻黄汤</t>
    <phoneticPr fontId="1" type="noConversion"/>
  </si>
  <si>
    <t>金水六君煎</t>
    <phoneticPr fontId="1" type="noConversion"/>
  </si>
  <si>
    <t>金水</t>
    <phoneticPr fontId="1" type="noConversion"/>
  </si>
  <si>
    <t>气虚 -&gt; 君子</t>
    <phoneticPr fontId="1" type="noConversion"/>
  </si>
  <si>
    <t>无宿痰 比咳嗽多虚症</t>
    <phoneticPr fontId="1" type="noConversion"/>
  </si>
  <si>
    <t>虚实</t>
    <phoneticPr fontId="1" type="noConversion"/>
  </si>
  <si>
    <t>病因</t>
    <phoneticPr fontId="1" type="noConversion"/>
  </si>
  <si>
    <t>表寒里热</t>
    <phoneticPr fontId="1" type="noConversion"/>
  </si>
  <si>
    <t>肺虚</t>
    <phoneticPr fontId="1" type="noConversion"/>
  </si>
  <si>
    <t>肾虚</t>
    <phoneticPr fontId="1" type="noConversion"/>
  </si>
  <si>
    <t>痰浊</t>
    <phoneticPr fontId="1" type="noConversion"/>
  </si>
  <si>
    <t>肺气郁痹</t>
    <phoneticPr fontId="1" type="noConversion"/>
  </si>
  <si>
    <t>二陈</t>
    <phoneticPr fontId="1" type="noConversion"/>
  </si>
  <si>
    <t>五磨饮子</t>
    <phoneticPr fontId="1" type="noConversion"/>
  </si>
  <si>
    <t>杏仁 -&gt; 喘</t>
    <phoneticPr fontId="1" type="noConversion"/>
  </si>
  <si>
    <t>痰 -&gt; 二陈</t>
    <phoneticPr fontId="1" type="noConversion"/>
  </si>
  <si>
    <t>哮鸣音</t>
    <phoneticPr fontId="1" type="noConversion"/>
  </si>
  <si>
    <t>恶寒</t>
    <phoneticPr fontId="1" type="noConversion"/>
  </si>
  <si>
    <t>情志</t>
    <phoneticPr fontId="1" type="noConversion"/>
  </si>
  <si>
    <t>腰酸</t>
    <phoneticPr fontId="1" type="noConversion"/>
  </si>
  <si>
    <t>自汗</t>
    <phoneticPr fontId="1" type="noConversion"/>
  </si>
  <si>
    <t>肝气犯肺</t>
    <phoneticPr fontId="1" type="noConversion"/>
  </si>
  <si>
    <t>肺痈</t>
    <phoneticPr fontId="1" type="noConversion"/>
  </si>
  <si>
    <t>瘀 腐</t>
    <phoneticPr fontId="1" type="noConversion"/>
  </si>
  <si>
    <t>阶段</t>
    <phoneticPr fontId="1" type="noConversion"/>
  </si>
  <si>
    <t>祛邪</t>
    <phoneticPr fontId="1" type="noConversion"/>
  </si>
  <si>
    <t>初</t>
    <phoneticPr fontId="1" type="noConversion"/>
  </si>
  <si>
    <t>成痈</t>
    <phoneticPr fontId="1" type="noConversion"/>
  </si>
  <si>
    <t>溃脓</t>
    <phoneticPr fontId="1" type="noConversion"/>
  </si>
  <si>
    <t>恢复</t>
    <phoneticPr fontId="1" type="noConversion"/>
  </si>
  <si>
    <t>桔梗汤</t>
    <phoneticPr fontId="1" type="noConversion"/>
  </si>
  <si>
    <t>沙参清肺</t>
    <phoneticPr fontId="1" type="noConversion"/>
  </si>
  <si>
    <t>风 热 痰 瘀 腐</t>
    <phoneticPr fontId="1" type="noConversion"/>
  </si>
  <si>
    <t>病机</t>
    <phoneticPr fontId="1" type="noConversion"/>
  </si>
  <si>
    <t>痫</t>
    <phoneticPr fontId="1" type="noConversion"/>
  </si>
  <si>
    <t>癫狂</t>
    <phoneticPr fontId="1" type="noConversion"/>
  </si>
  <si>
    <t>虚 体弱 气血阴阳
实 痰瘀水火</t>
    <phoneticPr fontId="1" type="noConversion"/>
  </si>
  <si>
    <t>心失所养</t>
    <phoneticPr fontId="1" type="noConversion"/>
  </si>
  <si>
    <t>内外</t>
    <phoneticPr fontId="1" type="noConversion"/>
  </si>
  <si>
    <t>桂枝甘草</t>
    <phoneticPr fontId="1" type="noConversion"/>
  </si>
  <si>
    <t>安神定志丸</t>
  </si>
  <si>
    <t>瘀</t>
    <phoneticPr fontId="1" type="noConversion"/>
  </si>
  <si>
    <t>振奋心阳，化气行水</t>
    <phoneticPr fontId="1" type="noConversion"/>
  </si>
  <si>
    <t>温补心阳，安神定悸</t>
    <phoneticPr fontId="1" type="noConversion"/>
  </si>
  <si>
    <t>旅行老人吃饱雪天吵架</t>
    <phoneticPr fontId="1" type="noConversion"/>
  </si>
  <si>
    <t>实 寒痰瘀滞</t>
    <phoneticPr fontId="1" type="noConversion"/>
  </si>
  <si>
    <t>滞</t>
    <phoneticPr fontId="1" type="noConversion"/>
  </si>
  <si>
    <t>心脉痹阻</t>
    <phoneticPr fontId="1" type="noConversion"/>
  </si>
  <si>
    <t>阴阳失交</t>
    <phoneticPr fontId="1" type="noConversion"/>
  </si>
  <si>
    <t>黄连温胆汤</t>
  </si>
  <si>
    <t>生铁落饮</t>
  </si>
  <si>
    <t>癫狂梦醒汤</t>
  </si>
  <si>
    <t>定痫丸</t>
  </si>
  <si>
    <t>通窍活血汤</t>
  </si>
  <si>
    <t>心肾不交</t>
  </si>
  <si>
    <t>痰气郁结</t>
  </si>
  <si>
    <t>火盛伤阴</t>
  </si>
  <si>
    <t>育阴潜阳，交通心肾</t>
  </si>
  <si>
    <t>瘀阻脑络</t>
  </si>
  <si>
    <t>心虚</t>
    <phoneticPr fontId="1" type="noConversion"/>
  </si>
  <si>
    <t>血虚</t>
    <phoneticPr fontId="1" type="noConversion"/>
  </si>
  <si>
    <t>血瘀</t>
    <phoneticPr fontId="1" type="noConversion"/>
  </si>
  <si>
    <t>心阳不振</t>
    <phoneticPr fontId="1" type="noConversion"/>
  </si>
  <si>
    <t>水饮</t>
    <phoneticPr fontId="1" type="noConversion"/>
  </si>
  <si>
    <t>气阴</t>
    <phoneticPr fontId="1" type="noConversion"/>
  </si>
  <si>
    <t>心阳</t>
    <phoneticPr fontId="1" type="noConversion"/>
  </si>
  <si>
    <t>交</t>
    <phoneticPr fontId="1" type="noConversion"/>
  </si>
  <si>
    <t>癫</t>
  </si>
  <si>
    <t>狂</t>
  </si>
  <si>
    <t>心脾 归脾丸 例外</t>
    <phoneticPr fontId="1" type="noConversion"/>
  </si>
  <si>
    <t>风 火 瘀 虚</t>
    <phoneticPr fontId="1" type="noConversion"/>
  </si>
  <si>
    <t>火</t>
    <phoneticPr fontId="1" type="noConversion"/>
  </si>
  <si>
    <t>胃痛</t>
    <phoneticPr fontId="1" type="noConversion"/>
  </si>
  <si>
    <t>气短声低，喉中时有轻度哮鸣，痰多质稀，色白，自汗，怕风，常易感冒，倦怠无力，食少便溏，舌质淡，苔白，脉细弱。</t>
    <phoneticPr fontId="1" type="noConversion"/>
  </si>
  <si>
    <t>短气息促，动则为甚，吸气不利，咯痰质黏起沫，脑转耳鸣，腰酸腿软，心慌，不耐劳累。或五心烦热，颧红，口干，舌质红少苔，脉细数；或畏寒肢冷，面色苍白，舌苔淡白、质胖，脉沉细。</t>
    <phoneticPr fontId="1" type="noConversion"/>
  </si>
  <si>
    <t>喘促短气，气怯声低，喉有鼾声，咳声低弱，痰吐稀薄，自汗畏风，或见咳呛痰少质黏，烦热而渴，咽喉不利，面颧潮红，舌质淡红或有苔剥，脉软弱或细数。</t>
    <phoneticPr fontId="1" type="noConversion"/>
  </si>
  <si>
    <t>喘促日久，动则喘甚，呼多吸少，呼则难升，吸则难降，气不得续，形瘦神惫，跗肿，汗出肢冷，面青唇紫，舌淡苔白或黑而润滑，脉微细或沉弱；或见喘咳，面红烦躁，口咽干燥，足冷，汗出如油，舌红少津，脉细数。</t>
    <phoneticPr fontId="1" type="noConversion"/>
  </si>
  <si>
    <t>心悸不安，胸闷不舒，心痛时作，痛如针刺，唇甲青紫，舌质紫暗或有瘀斑，脉涩或结或代。</t>
    <phoneticPr fontId="1" type="noConversion"/>
  </si>
  <si>
    <r>
      <t>恶寒重，发热轻，无汗，</t>
    </r>
    <r>
      <rPr>
        <sz val="12"/>
        <color rgb="FF000000"/>
        <rFont val="宋体"/>
        <family val="3"/>
        <charset val="134"/>
      </rPr>
      <t>头痛，肢节酸疼，鼻塞声重或鼻痒喷嚏，</t>
    </r>
    <r>
      <rPr>
        <b/>
        <sz val="12"/>
        <color rgb="FFB30101"/>
        <rFont val="宋体"/>
        <family val="3"/>
        <charset val="134"/>
      </rPr>
      <t>时流清涕，</t>
    </r>
    <r>
      <rPr>
        <sz val="12"/>
        <color rgb="FF000000"/>
        <rFont val="宋体"/>
        <family val="3"/>
        <charset val="134"/>
      </rPr>
      <t>咽痒，咳嗽，痰吐稀薄色白，</t>
    </r>
    <r>
      <rPr>
        <b/>
        <sz val="12"/>
        <color rgb="FFB30101"/>
        <rFont val="宋体"/>
        <family val="3"/>
        <charset val="134"/>
      </rPr>
      <t>口不渴或渴喜热饮，</t>
    </r>
    <r>
      <rPr>
        <sz val="12"/>
        <color rgb="FF000000"/>
        <rFont val="宋体"/>
        <family val="3"/>
        <charset val="134"/>
      </rPr>
      <t>舌苔薄白而润，</t>
    </r>
    <r>
      <rPr>
        <b/>
        <sz val="12"/>
        <color rgb="FFB30101"/>
        <rFont val="宋体"/>
        <family val="3"/>
        <charset val="134"/>
      </rPr>
      <t>脉浮或浮紧。</t>
    </r>
    <phoneticPr fontId="1" type="noConversion"/>
  </si>
  <si>
    <r>
      <t>身热，微恶风，汗少，肢体酸重</t>
    </r>
    <r>
      <rPr>
        <sz val="12"/>
        <color rgb="FF000000"/>
        <rFont val="宋体"/>
        <family val="3"/>
        <charset val="134"/>
      </rPr>
      <t>或疼痛，</t>
    </r>
    <r>
      <rPr>
        <b/>
        <sz val="12"/>
        <color rgb="FFB30101"/>
        <rFont val="宋体"/>
        <family val="3"/>
        <charset val="134"/>
      </rPr>
      <t>头昏重胀痛，咳嗽痰黏，鼻流浊涕，</t>
    </r>
    <r>
      <rPr>
        <sz val="12"/>
        <color rgb="FF000000"/>
        <rFont val="宋体"/>
        <family val="3"/>
        <charset val="134"/>
      </rPr>
      <t>心烦口渴，或口中黏腻，渴不多饮，胸闷脘痞，泛恶，腹胀，大便或溏，小便短赤，</t>
    </r>
    <r>
      <rPr>
        <b/>
        <sz val="12"/>
        <color rgb="FFB30101"/>
        <rFont val="宋体"/>
        <family val="3"/>
        <charset val="134"/>
      </rPr>
      <t>舌苔薄黄而腻，脉濡数。</t>
    </r>
    <phoneticPr fontId="1" type="noConversion"/>
  </si>
  <si>
    <r>
      <t>恶寒较甚，发热，无汗，</t>
    </r>
    <r>
      <rPr>
        <sz val="12"/>
        <color rgb="FF000000"/>
        <rFont val="宋体"/>
        <family val="3"/>
        <charset val="134"/>
      </rPr>
      <t>头痛身楚，咳嗽，痰白，</t>
    </r>
    <r>
      <rPr>
        <b/>
        <sz val="12"/>
        <color rgb="FFB30101"/>
        <rFont val="宋体"/>
        <family val="3"/>
        <charset val="134"/>
      </rPr>
      <t>咯痰无力，平素神疲体弱，气短懒言，</t>
    </r>
    <r>
      <rPr>
        <sz val="12"/>
        <color rgb="FF000000"/>
        <rFont val="宋体"/>
        <family val="3"/>
        <charset val="134"/>
      </rPr>
      <t>反复易感，舌淡苔白，</t>
    </r>
    <r>
      <rPr>
        <b/>
        <sz val="12"/>
        <color rgb="FFB30101"/>
        <rFont val="宋体"/>
        <family val="3"/>
        <charset val="134"/>
      </rPr>
      <t>脉浮而无力。</t>
    </r>
    <phoneticPr fontId="1" type="noConversion"/>
  </si>
  <si>
    <r>
      <t>身热，微恶风寒，</t>
    </r>
    <r>
      <rPr>
        <sz val="12"/>
        <color rgb="FF000000"/>
        <rFont val="宋体"/>
        <family val="3"/>
        <charset val="134"/>
      </rPr>
      <t>少汗，头昏，心烦，口干，干咳少痰，</t>
    </r>
    <r>
      <rPr>
        <b/>
        <sz val="12"/>
        <color rgb="FFB30101"/>
        <rFont val="宋体"/>
        <family val="3"/>
        <charset val="134"/>
      </rPr>
      <t>舌红少苔，脉细数。</t>
    </r>
    <phoneticPr fontId="1" type="noConversion"/>
  </si>
  <si>
    <r>
      <t>咳嗽声重，气急，咽痒， 咯痰稀薄色白，常伴鼻塞，流清涕，</t>
    </r>
    <r>
      <rPr>
        <sz val="12"/>
        <color rgb="FF000000"/>
        <rFont val="宋体"/>
        <family val="3"/>
        <charset val="134"/>
      </rPr>
      <t>头痛，肢体酸楚，或见恶寒发热，无汗等表证，舌苔薄白，</t>
    </r>
    <r>
      <rPr>
        <b/>
        <sz val="12"/>
        <color rgb="FFB30101"/>
        <rFont val="宋体"/>
        <family val="3"/>
        <charset val="134"/>
      </rPr>
      <t>脉浮或浮紧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</si>
  <si>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咳嗽频剧，气粗或咳声嘶哑， 喉燥咽痛，咯痰不爽，痰黏稠或黄，</t>
    </r>
    <r>
      <rPr>
        <sz val="12"/>
        <color rgb="FF000000"/>
        <rFont val="宋体"/>
        <family val="3"/>
        <charset val="134"/>
      </rPr>
      <t>咳时汗出，常伴</t>
    </r>
    <r>
      <rPr>
        <b/>
        <sz val="12"/>
        <color rgb="FFB30101"/>
        <rFont val="宋体"/>
        <family val="3"/>
        <charset val="134"/>
      </rPr>
      <t>鼻流黄涕，口渴，头、身痛，或见恶风，身热</t>
    </r>
    <r>
      <rPr>
        <sz val="12"/>
        <color rgb="FF000000"/>
        <rFont val="宋体"/>
        <family val="3"/>
        <charset val="134"/>
      </rPr>
      <t>等表证，舌苔薄黄，脉浮数或浮滑。</t>
    </r>
    <phoneticPr fontId="1" type="noConversion"/>
  </si>
  <si>
    <r>
      <t>干咳，连声作呛，</t>
    </r>
    <r>
      <rPr>
        <sz val="12"/>
        <color rgb="FF000000"/>
        <rFont val="宋体"/>
        <family val="3"/>
        <charset val="134"/>
      </rPr>
      <t>喉痒，咽喉干痛，唇鼻干燥，</t>
    </r>
    <r>
      <rPr>
        <b/>
        <sz val="12"/>
        <color rgb="FFB30101"/>
        <rFont val="宋体"/>
        <family val="3"/>
        <charset val="134"/>
      </rPr>
      <t>无痰或痰少而黏连成丝，不易咯出，或痰中带有血丝，口干，初起或伴鼻塞、头痛、微寒、身热</t>
    </r>
    <r>
      <rPr>
        <sz val="12"/>
        <color rgb="FF000000"/>
        <rFont val="宋体"/>
        <family val="3"/>
        <charset val="134"/>
      </rPr>
      <t>等表证，舌质红干而少津，苔薄白或薄黄，脉浮数或小数。</t>
    </r>
    <phoneticPr fontId="1" type="noConversion"/>
  </si>
  <si>
    <r>
      <t>咳嗽反复发作， 咳声重浊，</t>
    </r>
    <r>
      <rPr>
        <sz val="12"/>
        <color rgb="FF000000"/>
        <rFont val="宋体"/>
        <family val="3"/>
        <charset val="134"/>
      </rPr>
      <t>痰多，因痰而嗽，痰出咳平，痰黏腻或稠厚成块，色白或带灰色，每于早晨或食后则咳甚痰多，进甘甜油腻食物加重，胸闷，脘痞，呕恶，食少，体倦，大便时溏，</t>
    </r>
    <r>
      <rPr>
        <b/>
        <sz val="12"/>
        <color rgb="FFB30101"/>
        <rFont val="宋体"/>
        <family val="3"/>
        <charset val="134"/>
      </rPr>
      <t>舌苔白腻，脉象濡滑。</t>
    </r>
    <phoneticPr fontId="1" type="noConversion"/>
  </si>
  <si>
    <r>
      <t>上气 咳逆阵作，咳时面赤，</t>
    </r>
    <r>
      <rPr>
        <sz val="12"/>
        <color rgb="FF000000"/>
        <rFont val="宋体"/>
        <family val="3"/>
        <charset val="134"/>
      </rPr>
      <t>咽干口苦，常感痰滞咽喉而咯之难出，量少质黏，或如絮条，</t>
    </r>
    <r>
      <rPr>
        <b/>
        <sz val="12"/>
        <color rgb="FFB30101"/>
        <rFont val="宋体"/>
        <family val="3"/>
        <charset val="134"/>
      </rPr>
      <t>胸胁胀痛，咳时引痛。症状可随情绪波动而增减。</t>
    </r>
    <r>
      <rPr>
        <sz val="12"/>
        <color rgb="FF000000"/>
        <rFont val="宋体"/>
        <family val="3"/>
        <charset val="134"/>
      </rPr>
      <t>舌红或舌边红，舌苔薄黄少津，</t>
    </r>
    <r>
      <rPr>
        <b/>
        <sz val="12"/>
        <color rgb="FFB30101"/>
        <rFont val="宋体"/>
        <family val="3"/>
        <charset val="134"/>
      </rPr>
      <t>脉弦数。</t>
    </r>
    <phoneticPr fontId="1" type="noConversion"/>
  </si>
  <si>
    <r>
      <t>干咳，咳声短促，或痰中带血丝，</t>
    </r>
    <r>
      <rPr>
        <sz val="12"/>
        <color rgb="FF000000"/>
        <rFont val="宋体"/>
        <family val="3"/>
        <charset val="134"/>
      </rPr>
      <t>或声音逐渐嘶哑，口干咽燥，或</t>
    </r>
    <r>
      <rPr>
        <b/>
        <sz val="12"/>
        <color rgb="FFB30101"/>
        <rFont val="宋体"/>
        <family val="3"/>
        <charset val="134"/>
      </rPr>
      <t>午后潮热，颧红，盗汗，</t>
    </r>
    <r>
      <rPr>
        <sz val="12"/>
        <color rgb="FF000000"/>
        <rFont val="宋体"/>
        <family val="3"/>
        <charset val="134"/>
      </rPr>
      <t>口干，日渐消瘦，神疲，</t>
    </r>
    <r>
      <rPr>
        <b/>
        <sz val="12"/>
        <color rgb="FFB30101"/>
        <rFont val="宋体"/>
        <family val="3"/>
        <charset val="134"/>
      </rPr>
      <t>舌质红、少苔，脉细数。</t>
    </r>
    <phoneticPr fontId="1" type="noConversion"/>
  </si>
  <si>
    <r>
      <t>喉中哮鸣如水鸡声，</t>
    </r>
    <r>
      <rPr>
        <sz val="12"/>
        <color rgb="FF000000"/>
        <rFont val="宋体"/>
        <family val="3"/>
        <charset val="134"/>
      </rPr>
      <t>呼吸急促，喘憋气逆，胸膈满闷如塞，咳不甚，痰少咯吐不爽，色白而多泡沫，</t>
    </r>
    <r>
      <rPr>
        <b/>
        <sz val="12"/>
        <color rgb="FFB30101"/>
        <rFont val="宋体"/>
        <family val="3"/>
        <charset val="134"/>
      </rPr>
      <t>口不渴或渴喜热饮，形寒怕冷，天冷或受寒易发，面色青晦，舌苔白滑，脉弦紧或浮紧。</t>
    </r>
    <phoneticPr fontId="1" type="noConversion"/>
  </si>
  <si>
    <r>
      <t>喉中痰鸣如吼，喘而气粗息涌，</t>
    </r>
    <r>
      <rPr>
        <sz val="12"/>
        <color rgb="FF000000"/>
        <rFont val="宋体"/>
        <family val="3"/>
        <charset val="134"/>
      </rPr>
      <t>胸高胁胀，咳呛阵作，咯痰色黄或白，黏浊稠厚，排吐不利，</t>
    </r>
    <r>
      <rPr>
        <b/>
        <sz val="12"/>
        <color rgb="FFB30101"/>
        <rFont val="宋体"/>
        <family val="3"/>
        <charset val="134"/>
      </rPr>
      <t>口苦，口渴喜饮，汗出，面赤，或有身热，舌苔黄腻、质红，脉滑数或弦滑。</t>
    </r>
    <phoneticPr fontId="1" type="noConversion"/>
  </si>
  <si>
    <r>
      <t>喘息咳逆，呼吸急促，</t>
    </r>
    <r>
      <rPr>
        <sz val="12"/>
        <color rgb="FF000000"/>
        <rFont val="宋体"/>
        <family val="3"/>
        <charset val="134"/>
      </rPr>
      <t>胸部胀闷，痰多稀薄而带泡沫，色白质黏，常有</t>
    </r>
    <r>
      <rPr>
        <b/>
        <sz val="12"/>
        <color rgb="FFB30101"/>
        <rFont val="宋体"/>
        <family val="3"/>
        <charset val="134"/>
      </rPr>
      <t>头痛，恶寒，或有发热，口不渴，无汗。苔薄白而滑，脉浮紧。</t>
    </r>
    <phoneticPr fontId="1" type="noConversion"/>
  </si>
  <si>
    <r>
      <t>喘逆上气，</t>
    </r>
    <r>
      <rPr>
        <sz val="12"/>
        <color rgb="FF000000"/>
        <rFont val="宋体"/>
        <family val="3"/>
        <charset val="134"/>
      </rPr>
      <t>胸胀或痛，息粗，鼻煽，咳而不爽，吐痰稠黏，伴</t>
    </r>
    <r>
      <rPr>
        <b/>
        <sz val="12"/>
        <color rgb="FFB30101"/>
        <rFont val="宋体"/>
        <family val="3"/>
        <charset val="134"/>
      </rPr>
      <t>形寒，身热，</t>
    </r>
    <r>
      <rPr>
        <sz val="12"/>
        <color rgb="FF000000"/>
        <rFont val="宋体"/>
        <family val="3"/>
        <charset val="134"/>
      </rPr>
      <t>烦闷，身痛，有汗或无汗，</t>
    </r>
    <r>
      <rPr>
        <b/>
        <sz val="12"/>
        <color rgb="FFB30101"/>
        <rFont val="宋体"/>
        <family val="3"/>
        <charset val="134"/>
      </rPr>
      <t>口渴，苔薄白或薄黄，舌边红，脉浮数或滑。</t>
    </r>
    <phoneticPr fontId="1" type="noConversion"/>
  </si>
  <si>
    <r>
      <t>喘而胸满闷塞，</t>
    </r>
    <r>
      <rPr>
        <sz val="12"/>
        <color rgb="FF000000"/>
        <rFont val="宋体"/>
        <family val="3"/>
        <charset val="134"/>
      </rPr>
      <t>甚则胸盈仰息，咳嗽</t>
    </r>
    <r>
      <rPr>
        <b/>
        <sz val="12"/>
        <color rgb="FFB30101"/>
        <rFont val="宋体"/>
        <family val="3"/>
        <charset val="134"/>
      </rPr>
      <t>痰多，黏腻色白，咯吐不利，</t>
    </r>
    <r>
      <rPr>
        <sz val="12"/>
        <color rgb="FF000000"/>
        <rFont val="宋体"/>
        <family val="3"/>
        <charset val="134"/>
      </rPr>
      <t>兼有</t>
    </r>
    <r>
      <rPr>
        <b/>
        <sz val="12"/>
        <color rgb="FFB30101"/>
        <rFont val="宋体"/>
        <family val="3"/>
        <charset val="134"/>
      </rPr>
      <t>呕恶，食少，口黏不渴，舌苔白腻，脉象滑或濡。</t>
    </r>
    <phoneticPr fontId="1" type="noConversion"/>
  </si>
  <si>
    <r>
      <t>每遇情志刺激而诱发，</t>
    </r>
    <r>
      <rPr>
        <sz val="12"/>
        <color rgb="FF000000"/>
        <rFont val="宋体"/>
        <family val="3"/>
        <charset val="134"/>
      </rPr>
      <t>发时突然呼吸短促，</t>
    </r>
    <r>
      <rPr>
        <b/>
        <sz val="12"/>
        <color rgb="FFB30101"/>
        <rFont val="宋体"/>
        <family val="3"/>
        <charset val="134"/>
      </rPr>
      <t>息粗气憋，胸闷胸痛，咽中如窒，</t>
    </r>
    <r>
      <rPr>
        <sz val="12"/>
        <color rgb="FF000000"/>
        <rFont val="宋体"/>
        <family val="3"/>
        <charset val="134"/>
      </rPr>
      <t>但喉中痰鸣不著，或无痰声。</t>
    </r>
    <r>
      <rPr>
        <b/>
        <sz val="12"/>
        <color rgb="FFB30101"/>
        <rFont val="宋体"/>
        <family val="3"/>
        <charset val="134"/>
      </rPr>
      <t>平素常多忧思抑郁，失眠，心悸。苔薄，脉弦。</t>
    </r>
    <phoneticPr fontId="1" type="noConversion"/>
  </si>
  <si>
    <r>
      <t>恶寒发热，咳嗽，咯白色黏痰，痰量日渐增多，</t>
    </r>
    <r>
      <rPr>
        <sz val="12"/>
        <color rgb="FF000000"/>
        <rFont val="宋体"/>
        <family val="3"/>
        <charset val="134"/>
      </rPr>
      <t>胸痛，咳则痛甚，呼吸不利，口干鼻燥，舌苔薄黄，</t>
    </r>
    <r>
      <rPr>
        <b/>
        <sz val="12"/>
        <color rgb="FFB30101"/>
        <rFont val="宋体"/>
        <family val="3"/>
        <charset val="134"/>
      </rPr>
      <t>脉浮数而滑。</t>
    </r>
    <phoneticPr fontId="1" type="noConversion"/>
  </si>
  <si>
    <r>
      <t>身热转甚，时时振寒，继则壮热，汗出烦躁，咳嗽气急，胸满作痛，转侧不利。咳吐浊痰，呈黄绿色，自觉喉间有腥味，</t>
    </r>
    <r>
      <rPr>
        <sz val="12"/>
        <color rgb="FF000000"/>
        <rFont val="宋体"/>
        <family val="3"/>
        <charset val="134"/>
      </rPr>
      <t>口干咽燥，舌苔黄腻，脉滑数。</t>
    </r>
    <phoneticPr fontId="1" type="noConversion"/>
  </si>
  <si>
    <r>
      <t>咳吐大量脓痰，或如米粥，或痰血相兼，腥臭异常，</t>
    </r>
    <r>
      <rPr>
        <sz val="12"/>
        <color rgb="FF000000"/>
        <rFont val="宋体"/>
        <family val="3"/>
        <charset val="134"/>
      </rPr>
      <t>有时咯血，胸中烦满而痛，甚则气喘不能卧，身热面赤，烦渴喜饮，舌苔黄腻，舌质红，脉滑数或数实。</t>
    </r>
    <phoneticPr fontId="1" type="noConversion"/>
  </si>
  <si>
    <r>
      <t>身热渐退，咳嗽减轻，咯吐脓痰渐少，臭味亦淡，痰液转为清稀，</t>
    </r>
    <r>
      <rPr>
        <sz val="12"/>
        <color rgb="FF000000"/>
        <rFont val="宋体"/>
        <family val="3"/>
        <charset val="134"/>
      </rPr>
      <t>精神渐振，食纳好转。或有胸胁隐痛，难以平卧，气短，自汗盗汗，低烧，午后潮热，心烦，口燥咽干，面色无华，形体消瘦，精神萎靡，舌质红或淡红，苔薄，脉细或细数无力。或见咳嗽，咯吐脓血痰日久不净，或痰液一度清稀而复转臭浊，病情时轻时重，迁延不愈。</t>
    </r>
    <phoneticPr fontId="1" type="noConversion"/>
  </si>
  <si>
    <r>
      <t>心悸眩晕，胸闷痞满，渴不欲饮，小便短少，或下肢浮肿，形寒肢冷，</t>
    </r>
    <r>
      <rPr>
        <sz val="12"/>
        <color rgb="FF000000"/>
        <rFont val="宋体"/>
        <family val="3"/>
        <charset val="134"/>
      </rPr>
      <t>伴恶心、欲吐、</t>
    </r>
    <r>
      <rPr>
        <b/>
        <sz val="12"/>
        <color rgb="FFB30101"/>
        <rFont val="宋体"/>
        <family val="3"/>
        <charset val="134"/>
      </rPr>
      <t>流涎，舌淡胖，苔白滑，</t>
    </r>
    <r>
      <rPr>
        <sz val="12"/>
        <color rgb="FF000000"/>
        <rFont val="宋体"/>
        <family val="3"/>
        <charset val="134"/>
      </rPr>
      <t>脉象弦滑或沉细而滑。</t>
    </r>
    <phoneticPr fontId="1" type="noConversion"/>
  </si>
  <si>
    <r>
      <t>心悸不安，胸闷气短，动则尤甚，面色苍白，形寒肢冷，</t>
    </r>
    <r>
      <rPr>
        <sz val="12"/>
        <color rgb="FF000000"/>
        <rFont val="宋体"/>
        <family val="3"/>
        <charset val="134"/>
      </rPr>
      <t>舌淡苔白，脉象虚弱或沉细无力。</t>
    </r>
    <phoneticPr fontId="1" type="noConversion"/>
  </si>
  <si>
    <r>
      <t>心悸不宁，善惊易恐，坐卧不安，</t>
    </r>
    <r>
      <rPr>
        <sz val="12"/>
        <color rgb="FF000000"/>
        <rFont val="宋体"/>
        <family val="3"/>
        <charset val="134"/>
      </rPr>
      <t>不寐多梦而易惊醒，恶闻声响，食少纳呆，苔薄白，脉细略数或细弦。</t>
    </r>
    <phoneticPr fontId="1" type="noConversion"/>
  </si>
  <si>
    <r>
      <t>心悸气短，头晕目眩，失眠健忘，面色无华，倦怠乏力，</t>
    </r>
    <r>
      <rPr>
        <sz val="12"/>
        <color rgb="FF000000"/>
        <rFont val="宋体"/>
        <family val="3"/>
        <charset val="134"/>
      </rPr>
      <t>纳呆食少，舌淡红，脉细弱。</t>
    </r>
    <phoneticPr fontId="1" type="noConversion"/>
  </si>
  <si>
    <r>
      <t>心悸易惊，心烦失眠，五心烦热，口干，盗汗，</t>
    </r>
    <r>
      <rPr>
        <sz val="12"/>
        <color rgb="FF000000"/>
        <rFont val="宋体"/>
        <family val="3"/>
        <charset val="134"/>
      </rPr>
      <t>思虑劳心则症状加重，伴</t>
    </r>
    <r>
      <rPr>
        <b/>
        <sz val="12"/>
        <color rgb="FFB30101"/>
        <rFont val="宋体"/>
        <family val="3"/>
        <charset val="134"/>
      </rPr>
      <t>耳鸣腰酸，</t>
    </r>
    <r>
      <rPr>
        <sz val="12"/>
        <color rgb="FF000000"/>
        <rFont val="宋体"/>
        <family val="3"/>
        <charset val="134"/>
      </rPr>
      <t>头晕目眩，急躁易怒，</t>
    </r>
    <r>
      <rPr>
        <b/>
        <sz val="12"/>
        <color rgb="FFB30101"/>
        <rFont val="宋体"/>
        <family val="3"/>
        <charset val="134"/>
      </rPr>
      <t>舌红少津，苔少或无，脉象细数。</t>
    </r>
    <phoneticPr fontId="1" type="noConversion"/>
  </si>
  <si>
    <r>
      <t>身热较著，微恶风，汗泄不畅，</t>
    </r>
    <r>
      <rPr>
        <sz val="12"/>
        <color rgb="FF000000"/>
        <rFont val="宋体"/>
        <family val="3"/>
        <charset val="134"/>
      </rPr>
      <t>头胀痛，面赤，咳嗽，痰黏或黄，咽燥，或咽喉乳蛾红肿疼痛，鼻塞，</t>
    </r>
    <r>
      <rPr>
        <b/>
        <sz val="12"/>
        <color rgb="FFB30101"/>
        <rFont val="宋体"/>
        <family val="3"/>
        <charset val="134"/>
      </rPr>
      <t>流黄浊涕，口干欲饮，</t>
    </r>
    <r>
      <rPr>
        <sz val="12"/>
        <color rgb="FF000000"/>
        <rFont val="宋体"/>
        <family val="3"/>
        <charset val="134"/>
      </rPr>
      <t>舌苔薄白微黄，舌边尖红，</t>
    </r>
    <r>
      <rPr>
        <b/>
        <sz val="12"/>
        <color rgb="FFB30101"/>
        <rFont val="宋体"/>
        <family val="3"/>
        <charset val="134"/>
      </rPr>
      <t>脉浮数。</t>
    </r>
    <phoneticPr fontId="1" type="noConversion"/>
  </si>
  <si>
    <t>脉</t>
    <phoneticPr fontId="1" type="noConversion"/>
  </si>
  <si>
    <t>湿脉濡</t>
    <phoneticPr fontId="1" type="noConversion"/>
  </si>
  <si>
    <t>不渴</t>
    <phoneticPr fontId="1" type="noConversion"/>
  </si>
  <si>
    <t>浮紧</t>
    <phoneticPr fontId="1" type="noConversion"/>
  </si>
  <si>
    <t>浮数</t>
  </si>
  <si>
    <t>濡数</t>
  </si>
  <si>
    <t>细数</t>
  </si>
  <si>
    <t>细弱</t>
  </si>
  <si>
    <t>浮 无力</t>
    <phoneticPr fontId="1" type="noConversion"/>
  </si>
  <si>
    <t>重 黏</t>
    <phoneticPr fontId="1" type="noConversion"/>
  </si>
  <si>
    <t>声重</t>
    <phoneticPr fontId="1" type="noConversion"/>
  </si>
  <si>
    <t>濡滑</t>
    <phoneticPr fontId="1" type="noConversion"/>
  </si>
  <si>
    <t>痰=胸闷+苔腻+脉滑</t>
    <phoneticPr fontId="1" type="noConversion"/>
  </si>
  <si>
    <t>肝火犯肺=肝症状+热象</t>
    <phoneticPr fontId="1" type="noConversion"/>
  </si>
  <si>
    <t>干 -&gt; 实 燥， 虚 津亏/阴虚</t>
    <phoneticPr fontId="1" type="noConversion"/>
  </si>
  <si>
    <t>干</t>
    <phoneticPr fontId="1" type="noConversion"/>
  </si>
  <si>
    <t>薄黄</t>
  </si>
  <si>
    <t>浮数滑</t>
    <phoneticPr fontId="1" type="noConversion"/>
  </si>
  <si>
    <t>弦</t>
  </si>
  <si>
    <t>白腻</t>
  </si>
  <si>
    <t>薄白</t>
  </si>
  <si>
    <t>诊</t>
    <phoneticPr fontId="1" type="noConversion"/>
  </si>
  <si>
    <t>气虚病状加虚脉</t>
    <phoneticPr fontId="1" type="noConversion"/>
  </si>
  <si>
    <t>气虚+虚脉</t>
    <phoneticPr fontId="1" type="noConversion"/>
  </si>
  <si>
    <t>白滑</t>
  </si>
  <si>
    <t>弦 浮 紧</t>
    <phoneticPr fontId="1" type="noConversion"/>
  </si>
  <si>
    <t>滑 数 弦</t>
    <phoneticPr fontId="1" type="noConversion"/>
  </si>
  <si>
    <t>沉细</t>
  </si>
  <si>
    <t>痰鸣如吼</t>
  </si>
  <si>
    <t>痰+泡沫=风</t>
    <phoneticPr fontId="1" type="noConversion"/>
  </si>
  <si>
    <t>软弱 细数</t>
    <phoneticPr fontId="1" type="noConversion"/>
  </si>
  <si>
    <t>浮 数 滑</t>
    <phoneticPr fontId="1" type="noConversion"/>
  </si>
  <si>
    <t>滑 濡</t>
    <phoneticPr fontId="1" type="noConversion"/>
  </si>
  <si>
    <t>薄</t>
  </si>
  <si>
    <t>薄白而滑</t>
  </si>
  <si>
    <t>少气懒言
腹胀便溏</t>
    <phoneticPr fontId="1" type="noConversion"/>
  </si>
  <si>
    <t>动则XX
腰膝</t>
    <phoneticPr fontId="1" type="noConversion"/>
  </si>
  <si>
    <t>如水鸡声</t>
    <phoneticPr fontId="1" type="noConversion"/>
  </si>
  <si>
    <t>乏力
气短懒言</t>
    <phoneticPr fontId="1" type="noConversion"/>
  </si>
  <si>
    <t>涩 结 代</t>
    <phoneticPr fontId="1" type="noConversion"/>
  </si>
  <si>
    <t>滑 弦 沉细</t>
    <phoneticPr fontId="1" type="noConversion"/>
  </si>
  <si>
    <t>沉细无力
虚弱</t>
    <phoneticPr fontId="1" type="noConversion"/>
  </si>
  <si>
    <t>细 数 弦</t>
    <phoneticPr fontId="1" type="noConversion"/>
  </si>
  <si>
    <t>淡红</t>
  </si>
  <si>
    <t>针刺</t>
  </si>
  <si>
    <t>血虚=颜色淡
面色无华=淡白</t>
    <phoneticPr fontId="1" type="noConversion"/>
  </si>
  <si>
    <t>阴虚 心+肾</t>
    <phoneticPr fontId="1" type="noConversion"/>
  </si>
  <si>
    <t>烦</t>
  </si>
  <si>
    <t>善惊易恐</t>
  </si>
  <si>
    <t>晕 颜色</t>
    <phoneticPr fontId="1" type="noConversion"/>
  </si>
  <si>
    <t>浮肿 冷</t>
    <phoneticPr fontId="1" type="noConversion"/>
  </si>
  <si>
    <t>痰热</t>
    <phoneticPr fontId="1" type="noConversion"/>
  </si>
  <si>
    <t>痰火</t>
    <phoneticPr fontId="1" type="noConversion"/>
  </si>
  <si>
    <t>风痰</t>
    <phoneticPr fontId="1" type="noConversion"/>
  </si>
  <si>
    <t>心脾虚</t>
    <phoneticPr fontId="1" type="noConversion"/>
  </si>
  <si>
    <t>心肾虚</t>
    <phoneticPr fontId="1" type="noConversion"/>
  </si>
  <si>
    <t>心胆虚</t>
    <phoneticPr fontId="1" type="noConversion"/>
  </si>
  <si>
    <t>寒热气血阴阳食</t>
    <phoneticPr fontId="1" type="noConversion"/>
  </si>
  <si>
    <t>泄泻</t>
    <phoneticPr fontId="1" type="noConversion"/>
  </si>
  <si>
    <t>痢疾</t>
    <phoneticPr fontId="1" type="noConversion"/>
  </si>
  <si>
    <t>无 血</t>
    <phoneticPr fontId="1" type="noConversion"/>
  </si>
  <si>
    <t>气滞 失和降</t>
    <phoneticPr fontId="1" type="noConversion"/>
  </si>
  <si>
    <t>胃 肝脾</t>
    <phoneticPr fontId="1" type="noConversion"/>
  </si>
  <si>
    <t>寒</t>
  </si>
  <si>
    <t>腹痛</t>
    <phoneticPr fontId="1" type="noConversion"/>
  </si>
  <si>
    <t>肝气犯胃</t>
  </si>
  <si>
    <t>肝郁气滞</t>
  </si>
  <si>
    <t>瘀血内停</t>
  </si>
  <si>
    <t>肝气乘脾</t>
  </si>
  <si>
    <t>脾胃虚弱</t>
  </si>
  <si>
    <t>肾阳虚</t>
  </si>
  <si>
    <t>温胃散寒，行气止痛</t>
  </si>
  <si>
    <t>良附丸</t>
  </si>
  <si>
    <t>消食导滞，和胃止痛</t>
  </si>
  <si>
    <t>清化湿热</t>
  </si>
  <si>
    <t>清中汤</t>
  </si>
  <si>
    <t>疏肝解郁，理气止痛</t>
  </si>
  <si>
    <t>化瘀通络，理气和胃</t>
  </si>
  <si>
    <t>养阴益胃，和中止痛</t>
  </si>
  <si>
    <t>温中健脾，和胃止痛</t>
  </si>
  <si>
    <t>黄芪建中汤</t>
  </si>
  <si>
    <t>疏邪解表，化浊和中</t>
  </si>
  <si>
    <t>消食化滞，和胃降逆</t>
  </si>
  <si>
    <t>疏肝理气，和胃降逆</t>
  </si>
  <si>
    <t>四七汤</t>
  </si>
  <si>
    <t>温中化饮，和胃降逆</t>
  </si>
  <si>
    <t>健脾益气，和胃降逆</t>
  </si>
  <si>
    <t>香砂六君汤</t>
  </si>
  <si>
    <t>温中健脾，和胃降逆</t>
  </si>
  <si>
    <t>理中汤</t>
  </si>
  <si>
    <t>滋养胃阴，降逆止呕</t>
  </si>
  <si>
    <t>散寒温里，理气止痛</t>
  </si>
  <si>
    <t>泄热通腑，行气导滞</t>
  </si>
  <si>
    <t>消食导滞，理气止痛</t>
  </si>
  <si>
    <t>活血化瘀，活络止痛</t>
  </si>
  <si>
    <t>少腹逐瘀汤</t>
  </si>
  <si>
    <t>芳香化湿，解表散寒</t>
  </si>
  <si>
    <t>清热燥湿，分利止泻</t>
  </si>
  <si>
    <t>葛根芩连汤</t>
  </si>
  <si>
    <t>消食导滞，和中止泻</t>
  </si>
  <si>
    <t>抑肝扶脾</t>
  </si>
  <si>
    <t>健脾益气，化湿止泻</t>
  </si>
  <si>
    <t>温肾健脾，固涩止泻</t>
  </si>
  <si>
    <t>清肠化湿</t>
  </si>
  <si>
    <t>芍药散</t>
  </si>
  <si>
    <t>清热解毒，凉血除积</t>
  </si>
  <si>
    <t>温中燥湿，调气和血</t>
  </si>
  <si>
    <t>温中清肠，调气化滞</t>
  </si>
  <si>
    <t>连理汤</t>
  </si>
  <si>
    <t>养阴和营，清肠化湿</t>
  </si>
  <si>
    <t>驻车丸</t>
  </si>
  <si>
    <t>温补脾肾，收涩固脱</t>
  </si>
  <si>
    <t>温里散寒，通便止痛</t>
  </si>
  <si>
    <t>泻热导滞，润肠通便</t>
  </si>
  <si>
    <t>顺气导滞</t>
  </si>
  <si>
    <t>六磨汤</t>
  </si>
  <si>
    <t>益气润肠</t>
  </si>
  <si>
    <t>黄芪汤</t>
  </si>
  <si>
    <t>养血润燥</t>
  </si>
  <si>
    <t>润肠丸</t>
  </si>
  <si>
    <t>滋阴通便</t>
  </si>
  <si>
    <t>温阳通便</t>
  </si>
  <si>
    <t>热</t>
  </si>
  <si>
    <t>气</t>
  </si>
  <si>
    <t>血</t>
  </si>
  <si>
    <t>阴</t>
  </si>
  <si>
    <t>阳</t>
  </si>
  <si>
    <t>瘀血</t>
  </si>
  <si>
    <t>瘀血</t>
    <phoneticPr fontId="1" type="noConversion"/>
  </si>
  <si>
    <t>肝气犯胃</t>
    <phoneticPr fontId="1" type="noConversion"/>
  </si>
  <si>
    <t>寒邪</t>
    <phoneticPr fontId="1" type="noConversion"/>
  </si>
  <si>
    <t>脾胃虚寒</t>
  </si>
  <si>
    <t>虚寒</t>
    <phoneticPr fontId="1" type="noConversion"/>
  </si>
  <si>
    <t>清 -&gt; 热</t>
    <phoneticPr fontId="1" type="noConversion"/>
  </si>
  <si>
    <t>一起笑忠良</t>
    <phoneticPr fontId="1" type="noConversion"/>
  </si>
  <si>
    <t>血/痰</t>
    <phoneticPr fontId="1" type="noConversion"/>
  </si>
  <si>
    <t xml:space="preserve"> </t>
    <phoneticPr fontId="1" type="noConversion"/>
  </si>
  <si>
    <t>外邪</t>
    <phoneticPr fontId="1" type="noConversion"/>
  </si>
  <si>
    <t>食滞</t>
    <phoneticPr fontId="1" type="noConversion"/>
  </si>
  <si>
    <t>痰饮</t>
    <phoneticPr fontId="1" type="noConversion"/>
  </si>
  <si>
    <t>阳虚</t>
    <phoneticPr fontId="1" type="noConversion"/>
  </si>
  <si>
    <t>胃阴</t>
    <phoneticPr fontId="1" type="noConversion"/>
  </si>
  <si>
    <t>四七苓桂藿香呕</t>
    <phoneticPr fontId="1" type="noConversion"/>
  </si>
  <si>
    <t>六君理中麦门冬</t>
    <phoneticPr fontId="1" type="noConversion"/>
  </si>
  <si>
    <t>中虚脏寒</t>
    <phoneticPr fontId="1" type="noConversion"/>
  </si>
  <si>
    <t>良附丸</t>
    <phoneticPr fontId="1" type="noConversion"/>
  </si>
  <si>
    <t>大小少</t>
    <phoneticPr fontId="1" type="noConversion"/>
  </si>
  <si>
    <t>肠道清浊不分</t>
    <phoneticPr fontId="1" type="noConversion"/>
  </si>
  <si>
    <t>暴 实 久 虚</t>
    <phoneticPr fontId="1" type="noConversion"/>
  </si>
  <si>
    <t>无 血 脾肾</t>
    <phoneticPr fontId="1" type="noConversion"/>
  </si>
  <si>
    <t>久</t>
    <phoneticPr fontId="1" type="noConversion"/>
  </si>
  <si>
    <t>暴</t>
    <phoneticPr fontId="1" type="noConversion"/>
  </si>
  <si>
    <t>脾 肝肾</t>
    <phoneticPr fontId="1" type="noConversion"/>
  </si>
  <si>
    <t>呕吐 泄泻 感冒</t>
    <phoneticPr fontId="1" type="noConversion"/>
  </si>
  <si>
    <t>运脾化湿</t>
    <phoneticPr fontId="1" type="noConversion"/>
  </si>
  <si>
    <t>气 血</t>
    <phoneticPr fontId="1" type="noConversion"/>
  </si>
  <si>
    <t>无 血 食</t>
    <phoneticPr fontId="1" type="noConversion"/>
  </si>
  <si>
    <t>大肠传导失常</t>
    <phoneticPr fontId="1" type="noConversion"/>
  </si>
  <si>
    <t>血虚</t>
  </si>
  <si>
    <t>胁痛</t>
    <phoneticPr fontId="1" type="noConversion"/>
  </si>
  <si>
    <t>黄疸</t>
    <phoneticPr fontId="1" type="noConversion"/>
  </si>
  <si>
    <t>眩晕</t>
    <phoneticPr fontId="1" type="noConversion"/>
  </si>
  <si>
    <t>芎芷石膏汤</t>
  </si>
  <si>
    <t>涤痰汤合苏合香丸</t>
  </si>
  <si>
    <t>肝络失养</t>
  </si>
  <si>
    <t>热重于湿</t>
  </si>
  <si>
    <t>湿重于热</t>
  </si>
  <si>
    <t>胆腑郁热</t>
  </si>
  <si>
    <t>肝阳上亢</t>
  </si>
  <si>
    <t>痰浊中阻</t>
  </si>
  <si>
    <t>气血亏虚</t>
  </si>
  <si>
    <t>肾精不足</t>
  </si>
  <si>
    <t>风痰瘀阻</t>
  </si>
  <si>
    <t>风阳上扰</t>
  </si>
  <si>
    <t>阴虚风动</t>
  </si>
  <si>
    <t>阳闭证</t>
  </si>
  <si>
    <t>阴闭证</t>
  </si>
  <si>
    <t>脱证</t>
  </si>
  <si>
    <t>气虚络瘀</t>
  </si>
  <si>
    <t>肝肾亏虚</t>
  </si>
  <si>
    <t>疏肝理气</t>
  </si>
  <si>
    <t>祛瘀通络</t>
  </si>
  <si>
    <t>清热利湿</t>
  </si>
  <si>
    <t>养阴柔肝</t>
  </si>
  <si>
    <t>清热通腑，利湿退黄</t>
  </si>
  <si>
    <t>利湿化浊运脾，佐以清热</t>
  </si>
  <si>
    <t>疏肝泄热，利胆退黄</t>
  </si>
  <si>
    <t>清热解毒，凉血开窍</t>
  </si>
  <si>
    <t>千金犀角散</t>
  </si>
  <si>
    <t>温中化湿，健脾和胃</t>
  </si>
  <si>
    <t>疏散风寒止痛</t>
  </si>
  <si>
    <t>疏风清热活络</t>
  </si>
  <si>
    <t>祛风胜湿通窍</t>
  </si>
  <si>
    <t>平肝潜阳息风</t>
  </si>
  <si>
    <t>健脾燥湿，化痰降逆</t>
  </si>
  <si>
    <t>活血化瘀，通窍止痛</t>
  </si>
  <si>
    <t>养血滋阴，活络止痛</t>
  </si>
  <si>
    <t>加味四物汤</t>
  </si>
  <si>
    <t>养阴补肾，填精生髓</t>
  </si>
  <si>
    <t>大补元煎</t>
  </si>
  <si>
    <t>平肝潜阳，清火息风</t>
  </si>
  <si>
    <t>化痰祛湿，健脾和胃</t>
  </si>
  <si>
    <t>补益气血，调养心脾</t>
  </si>
  <si>
    <t>滋养肝肾，益精填髓</t>
  </si>
  <si>
    <t>息风化痰，活血通络</t>
  </si>
  <si>
    <t>平肝潜阳，活血通络</t>
  </si>
  <si>
    <t>滋阴潜阳，息风通络</t>
  </si>
  <si>
    <t>清肝息风，豁痰开窍</t>
  </si>
  <si>
    <t>豁痰息风，辛温开窍</t>
  </si>
  <si>
    <t>回阳救阴，益气固脱</t>
  </si>
  <si>
    <t>搜风化痰，行瘀通络</t>
  </si>
  <si>
    <t>解语丹</t>
  </si>
  <si>
    <t>益气养血，化瘀通络</t>
  </si>
  <si>
    <t>滋养肝肾</t>
  </si>
  <si>
    <t>鼓胀</t>
    <phoneticPr fontId="1" type="noConversion"/>
  </si>
  <si>
    <t>肝络失和</t>
    <phoneticPr fontId="1" type="noConversion"/>
  </si>
  <si>
    <t>气血 瘀滞 湿热</t>
    <phoneticPr fontId="1" type="noConversion"/>
  </si>
  <si>
    <t>疏肝活络</t>
    <phoneticPr fontId="1" type="noConversion"/>
  </si>
  <si>
    <t>化湿利尿</t>
    <phoneticPr fontId="1" type="noConversion"/>
  </si>
  <si>
    <t>急</t>
    <phoneticPr fontId="1" type="noConversion"/>
  </si>
  <si>
    <t>气滞</t>
  </si>
  <si>
    <t>血瘀</t>
  </si>
  <si>
    <t>寒水</t>
    <phoneticPr fontId="1" type="noConversion"/>
  </si>
  <si>
    <t>热水</t>
    <phoneticPr fontId="1" type="noConversion"/>
  </si>
  <si>
    <t>脾肾阳虚</t>
    <phoneticPr fontId="1" type="noConversion"/>
  </si>
  <si>
    <t>肝肾阴虚</t>
    <phoneticPr fontId="1" type="noConversion"/>
  </si>
  <si>
    <t>疏肝理气，运脾利湿</t>
  </si>
  <si>
    <t>活血化瘀，行气利水</t>
  </si>
  <si>
    <t>调营饮</t>
  </si>
  <si>
    <t>温中健脾，行气利水</t>
  </si>
  <si>
    <t>实脾饮</t>
  </si>
  <si>
    <t>清热利湿，攻下逐水</t>
  </si>
  <si>
    <t>温补脾肾，化气利水</t>
  </si>
  <si>
    <t>滋肾柔肝，养阴利水</t>
  </si>
  <si>
    <t>茵陈五苓散</t>
    <phoneticPr fontId="1" type="noConversion"/>
  </si>
  <si>
    <t>茵陈术附汤</t>
    <phoneticPr fontId="1" type="noConversion"/>
  </si>
  <si>
    <t>疫毒</t>
    <phoneticPr fontId="1" type="noConversion"/>
  </si>
  <si>
    <t>3肝1淤</t>
  </si>
  <si>
    <t>寒热气血阴阳</t>
    <phoneticPr fontId="1" type="noConversion"/>
  </si>
  <si>
    <t>水气血 肝脾肾</t>
    <phoneticPr fontId="1" type="noConversion"/>
  </si>
  <si>
    <t>本虚标实</t>
    <phoneticPr fontId="1" type="noConversion"/>
  </si>
  <si>
    <t>或附子理苓汤</t>
    <phoneticPr fontId="1" type="noConversion"/>
  </si>
  <si>
    <t>外:风+寒热湿 
内: 肝脾肾 伤 久病</t>
    <phoneticPr fontId="1" type="noConversion"/>
  </si>
  <si>
    <t>外:风+寒热湿 
内: 气血痰瘀虚</t>
    <phoneticPr fontId="1" type="noConversion"/>
  </si>
  <si>
    <t>风寒</t>
  </si>
  <si>
    <t>风热</t>
  </si>
  <si>
    <t>风湿</t>
  </si>
  <si>
    <t>肝阳</t>
  </si>
  <si>
    <t>痰浊</t>
  </si>
  <si>
    <t>肾虚</t>
  </si>
  <si>
    <t>加</t>
    <phoneticPr fontId="1" type="noConversion"/>
  </si>
  <si>
    <t>~头痛 内伤 无 血</t>
    <phoneticPr fontId="1" type="noConversion"/>
  </si>
  <si>
    <t>左 + 归</t>
    <phoneticPr fontId="1" type="noConversion"/>
  </si>
  <si>
    <t>阴虚阳亢 阴阳失调</t>
    <phoneticPr fontId="1" type="noConversion"/>
  </si>
  <si>
    <t>风阳=肝阳</t>
    <phoneticPr fontId="1" type="noConversion"/>
  </si>
  <si>
    <t>耳鸣目眩</t>
    <phoneticPr fontId="1" type="noConversion"/>
  </si>
  <si>
    <t>经络</t>
    <phoneticPr fontId="1" type="noConversion"/>
  </si>
  <si>
    <t>脏腑</t>
  </si>
  <si>
    <t>恢复期</t>
  </si>
  <si>
    <t>面赤身热</t>
    <phoneticPr fontId="1" type="noConversion"/>
  </si>
  <si>
    <t>痰浊 静卧不烦</t>
    <phoneticPr fontId="1" type="noConversion"/>
  </si>
  <si>
    <t>痰热</t>
  </si>
  <si>
    <t>手撒肢冷</t>
    <phoneticPr fontId="1" type="noConversion"/>
  </si>
  <si>
    <t>水肿</t>
    <phoneticPr fontId="1" type="noConversion"/>
  </si>
  <si>
    <t>血症</t>
    <phoneticPr fontId="1" type="noConversion"/>
  </si>
  <si>
    <t>痹症</t>
    <phoneticPr fontId="1" type="noConversion"/>
  </si>
  <si>
    <t>肺脾肾膀胱</t>
    <phoneticPr fontId="1" type="noConversion"/>
  </si>
  <si>
    <t>咳血</t>
  </si>
  <si>
    <t>吐血</t>
  </si>
  <si>
    <t>便血</t>
  </si>
  <si>
    <t>尿血</t>
  </si>
  <si>
    <t>风水相搏</t>
  </si>
  <si>
    <t>湿毒浸淫</t>
  </si>
  <si>
    <t>水湿浸渍</t>
  </si>
  <si>
    <t>湿热壅盛</t>
  </si>
  <si>
    <t>脾阳虚</t>
  </si>
  <si>
    <t>肝气郁结</t>
  </si>
  <si>
    <t>胃火</t>
  </si>
  <si>
    <t>肺热</t>
  </si>
  <si>
    <t>胃热</t>
  </si>
  <si>
    <t>肠道湿热</t>
  </si>
  <si>
    <t>下焦湿热</t>
  </si>
  <si>
    <t>肾气不固</t>
  </si>
  <si>
    <t>阴阳两虚</t>
  </si>
  <si>
    <t>行痹</t>
  </si>
  <si>
    <t>痛痹</t>
  </si>
  <si>
    <t>着痹</t>
  </si>
  <si>
    <t>热痹</t>
  </si>
  <si>
    <t>心神失养</t>
  </si>
  <si>
    <t>肝火</t>
  </si>
  <si>
    <t>气虚血溢</t>
  </si>
  <si>
    <t>气虚不摄</t>
  </si>
  <si>
    <t>脾不统血</t>
  </si>
  <si>
    <t>疏风清热，宣肺行水</t>
  </si>
  <si>
    <t>越婢加术汤</t>
  </si>
  <si>
    <t>宣肺解毒，利湿消肿</t>
  </si>
  <si>
    <t>麻黄连翘赤小豆汤</t>
  </si>
  <si>
    <t>健脾化湿，通阳利水</t>
  </si>
  <si>
    <t>分利湿热</t>
  </si>
  <si>
    <t>健脾温阳利水</t>
  </si>
  <si>
    <t>温肾助阳，化气行水</t>
  </si>
  <si>
    <t>清热利湿，排湿通淋</t>
  </si>
  <si>
    <t>石韦散</t>
  </si>
  <si>
    <t>清热利湿，分清泄浊</t>
  </si>
  <si>
    <t>程氏萆薢分清饮</t>
  </si>
  <si>
    <t>理气疏导，通淋利尿</t>
  </si>
  <si>
    <t>沉香散</t>
  </si>
  <si>
    <t>清热通淋，凉血止血</t>
  </si>
  <si>
    <t>清热利湿通淋</t>
  </si>
  <si>
    <t>补脾益肾</t>
  </si>
  <si>
    <t>无比山药丸</t>
  </si>
  <si>
    <t>疏肝解郁，理气畅中</t>
  </si>
  <si>
    <t>行气开郁，化痰散结</t>
  </si>
  <si>
    <t>甘润缓急，养心安神</t>
  </si>
  <si>
    <t>甘麦大枣汤</t>
  </si>
  <si>
    <t>健脾养心，补益气血</t>
  </si>
  <si>
    <t>清泄肺热，凉血止血</t>
  </si>
  <si>
    <t>清肝泻火，凉血止血</t>
  </si>
  <si>
    <t>清胃泻火，凉血止血</t>
  </si>
  <si>
    <t>补气摄血</t>
  </si>
  <si>
    <t>滋阴降火，凉血止血</t>
  </si>
  <si>
    <t>清热润肺，宁络止血</t>
  </si>
  <si>
    <t>滋阴润肺，宁络止血</t>
  </si>
  <si>
    <t>清胃泻火，化瘀止血</t>
  </si>
  <si>
    <t>泻肝清胃，凉血止血</t>
  </si>
  <si>
    <t>健脾益气摄血</t>
  </si>
  <si>
    <t>清化湿热，凉血止血</t>
  </si>
  <si>
    <t>益气摄血</t>
  </si>
  <si>
    <t>健脾温中，养血止血</t>
  </si>
  <si>
    <t>清热利湿，凉血止血</t>
  </si>
  <si>
    <t>知柏地黄丸</t>
  </si>
  <si>
    <t>补中健脾，益气摄血</t>
  </si>
  <si>
    <t>补益肾气，固摄止血</t>
  </si>
  <si>
    <t>茜根散</t>
  </si>
  <si>
    <t>清热润肺，生津止渴</t>
  </si>
  <si>
    <t>消渴方</t>
  </si>
  <si>
    <t>清胃泻火，养阴增液</t>
  </si>
  <si>
    <t>滋阴固肾</t>
  </si>
  <si>
    <t>滋阴温阳，补肾固涩</t>
  </si>
  <si>
    <t>金匮肾气丸</t>
  </si>
  <si>
    <t>祛风通络，散寒除湿</t>
  </si>
  <si>
    <t>防风汤</t>
  </si>
  <si>
    <t>散寒通络，祛风除湿</t>
  </si>
  <si>
    <t>乌头汤</t>
  </si>
  <si>
    <t>除湿通络，祛风散寒</t>
  </si>
  <si>
    <t>薏苡仁汤</t>
  </si>
  <si>
    <t>清热通络，祛风除湿</t>
  </si>
  <si>
    <t>化痰行瘀，蠲痹通络</t>
  </si>
  <si>
    <t>培补肝肾，舒筋止痛</t>
  </si>
  <si>
    <t>上</t>
    <phoneticPr fontId="1" type="noConversion"/>
  </si>
  <si>
    <t>下</t>
    <phoneticPr fontId="1" type="noConversion"/>
  </si>
  <si>
    <t>肺热津伤</t>
    <phoneticPr fontId="1" type="noConversion"/>
  </si>
  <si>
    <t>胃热炽盛</t>
    <phoneticPr fontId="1" type="noConversion"/>
  </si>
  <si>
    <t>疏凿饮子</t>
    <phoneticPr fontId="1" type="noConversion"/>
  </si>
  <si>
    <t>阴阳水</t>
    <phoneticPr fontId="1" type="noConversion"/>
  </si>
  <si>
    <t>石</t>
  </si>
  <si>
    <t>膏</t>
  </si>
  <si>
    <t>劳</t>
  </si>
  <si>
    <t>肝胆脾肾谈心
气 柴胡疏肝散 例外</t>
    <phoneticPr fontId="1" type="noConversion"/>
  </si>
  <si>
    <t>五皮饮</t>
    <phoneticPr fontId="1" type="noConversion"/>
  </si>
  <si>
    <t>眼肿</t>
    <phoneticPr fontId="1" type="noConversion"/>
  </si>
  <si>
    <t>腹胀纳呆</t>
    <phoneticPr fontId="1" type="noConversion"/>
  </si>
  <si>
    <t>口干</t>
    <phoneticPr fontId="1" type="noConversion"/>
  </si>
  <si>
    <t>腰膝</t>
    <phoneticPr fontId="1" type="noConversion"/>
  </si>
  <si>
    <t>五味消毒饮</t>
    <phoneticPr fontId="1" type="noConversion"/>
  </si>
  <si>
    <t>清利 补</t>
    <phoneticPr fontId="1" type="noConversion"/>
  </si>
  <si>
    <t>梅核气</t>
    <phoneticPr fontId="1" type="noConversion"/>
  </si>
  <si>
    <t>齿衄</t>
    <phoneticPr fontId="1" type="noConversion"/>
  </si>
  <si>
    <t>鼻衄</t>
    <phoneticPr fontId="1" type="noConversion"/>
  </si>
  <si>
    <t>上 鼻齿 中 咳吐 下 尿便</t>
    <phoneticPr fontId="1" type="noConversion"/>
  </si>
  <si>
    <t>火气血</t>
    <phoneticPr fontId="1" type="noConversion"/>
  </si>
  <si>
    <t>黛蛤散</t>
  </si>
  <si>
    <t>泻心汤</t>
  </si>
  <si>
    <t>泻心汤</t>
    <phoneticPr fontId="1" type="noConversion"/>
  </si>
  <si>
    <t>近</t>
    <phoneticPr fontId="1" type="noConversion"/>
  </si>
  <si>
    <t>远</t>
    <phoneticPr fontId="1" type="noConversion"/>
  </si>
  <si>
    <t>槐角丸</t>
    <phoneticPr fontId="1" type="noConversion"/>
  </si>
  <si>
    <t>阴液 燥</t>
    <phoneticPr fontId="1" type="noConversion"/>
  </si>
  <si>
    <t>喝</t>
    <phoneticPr fontId="1" type="noConversion"/>
  </si>
  <si>
    <t>寒热双</t>
  </si>
  <si>
    <t>通络 止痛</t>
    <phoneticPr fontId="1" type="noConversion"/>
  </si>
  <si>
    <t>外邪+痰瘀 闭 经络关节</t>
    <phoneticPr fontId="1" type="noConversion"/>
  </si>
  <si>
    <t>白虎加桂枝汤</t>
    <phoneticPr fontId="1" type="noConversion"/>
  </si>
  <si>
    <t>双</t>
    <phoneticPr fontId="1" type="noConversion"/>
  </si>
  <si>
    <t>双合汤</t>
    <phoneticPr fontId="1" type="noConversion"/>
  </si>
  <si>
    <t>痰瘀</t>
    <phoneticPr fontId="1" type="noConversion"/>
  </si>
  <si>
    <t>安神定志丸</t>
    <phoneticPr fontId="1" type="noConversion"/>
  </si>
  <si>
    <t>二陈平胃散</t>
    <phoneticPr fontId="1" type="noConversion"/>
  </si>
  <si>
    <t>二阴煎</t>
    <phoneticPr fontId="1" type="noConversion"/>
  </si>
  <si>
    <t>桂枝甘草龙骨牡蛎汤</t>
    <phoneticPr fontId="1" type="noConversion"/>
  </si>
  <si>
    <t>六君子汤</t>
    <phoneticPr fontId="1" type="noConversion"/>
  </si>
  <si>
    <t>三拗汤</t>
    <phoneticPr fontId="1" type="noConversion"/>
  </si>
  <si>
    <t>桃花汤</t>
    <phoneticPr fontId="1" type="noConversion"/>
  </si>
  <si>
    <t>枳实薤白桂枝汤</t>
    <phoneticPr fontId="1" type="noConversion"/>
  </si>
  <si>
    <t>栝蒌薤白半夏汤</t>
    <phoneticPr fontId="1" type="noConversion"/>
  </si>
  <si>
    <t>不换金正气散</t>
    <phoneticPr fontId="1" type="noConversion"/>
  </si>
  <si>
    <t>(藿香半平胃散)</t>
  </si>
  <si>
    <t>参附汤</t>
  </si>
  <si>
    <t>参附汤</t>
    <phoneticPr fontId="1" type="noConversion"/>
  </si>
  <si>
    <t>合</t>
    <phoneticPr fontId="1" type="noConversion"/>
  </si>
  <si>
    <t>中满分消丸</t>
    <phoneticPr fontId="1" type="noConversion"/>
  </si>
  <si>
    <t>胃苓汤</t>
  </si>
  <si>
    <t>涤痰汤</t>
  </si>
  <si>
    <t>桃仁红花煎</t>
  </si>
  <si>
    <t>交泰丸</t>
  </si>
  <si>
    <t>芍药甘草汤</t>
  </si>
  <si>
    <t>正气天香散</t>
  </si>
  <si>
    <t>小半夏汤</t>
  </si>
  <si>
    <t>人参养荣汤</t>
  </si>
  <si>
    <t>宣痹汤</t>
  </si>
  <si>
    <t>琥珀养心丹</t>
  </si>
  <si>
    <t>地榆散</t>
  </si>
  <si>
    <t>安宫牛黄丸</t>
  </si>
  <si>
    <t>丹参饮</t>
  </si>
  <si>
    <t>(二陈桃红四物)</t>
  </si>
  <si>
    <t>顺气导痰汤</t>
  </si>
  <si>
    <t>右归饮</t>
    <phoneticPr fontId="1" type="noConversion"/>
  </si>
  <si>
    <t>养心汤</t>
    <phoneticPr fontId="1" type="noConversion"/>
  </si>
  <si>
    <t>发病前常眩晕、头昏，胸闷，乏力，痰多，心情不悦。痫病发作呈多样性，或见突然跌倒，神志不清，抽搐吐涎，或伴尖叫与二便失禁，或短暂神志不清，双目发呆，茫然所失,谈话中断，持物落地，或精神恍惚而无抽搐，舌质红，苔白腻，脉多弦滑有力。</t>
    <phoneticPr fontId="1" type="noConversion"/>
  </si>
  <si>
    <t>头晕头痛,手足麻木，突然发生口舌歪斜，口角流涎，舌强语賽，甚则半身不遂，或兼见手足拘挛，舌质紫暗，或有瘀斑，舌苔薄白，脉弦涩或小滑。</t>
    <phoneticPr fontId="1" type="noConversion"/>
  </si>
  <si>
    <t>反复发痫，神疲乏力，心悸气短，失眠多梦，面色苍白，体瘦纳呆，大便溏薄，舌质淡，苔白腻，脉沉细而弱。</t>
    <phoneticPr fontId="1" type="noConversion"/>
  </si>
  <si>
    <t>口眼歪斜，舌强语蹇或失语，半身不遂，肢体麻木，苔滑腻，舌暗紫，脉弦滑。</t>
    <phoneticPr fontId="1" type="noConversion"/>
  </si>
  <si>
    <t>半身不遂，患肢僵硬，拘挛变形，舌强不语，或偏瘫，肢体肌肉萎缩，舌红脉细，或舌淡红，脉沉细。</t>
    <phoneticPr fontId="1" type="noConversion"/>
  </si>
  <si>
    <t>身肿日久，腰以下为甚，按之凹陷不易恢复，脘腹胀闷，纳减便溏，面色不华，神疲乏力，四肢倦怠，小便短少，舌质淡，苔白腻或白滑，脉沉缓或沉弱。</t>
    <phoneticPr fontId="1" type="noConversion"/>
  </si>
  <si>
    <t>鼻燥衄血，口干咽燥，或兼有身热、咳嗽、痰少等症，舌质红，苔薄，脉数。</t>
    <phoneticPr fontId="1" type="noConversion"/>
  </si>
  <si>
    <t>鼻衄，或兼齿衄，血色鲜红，口渴欲饮，鼻干，口干臭秽，烦躁，便秘，舌红，苔黄，脉数。</t>
    <phoneticPr fontId="1" type="noConversion"/>
  </si>
  <si>
    <t>鼻衄，头痛，目眩，耳鸣，烦躁易怒，两目红赤，口苦，舌红，脉弦数。</t>
    <phoneticPr fontId="1" type="noConversion"/>
  </si>
  <si>
    <t>鼻衄，或兼齿衄、肌衄，神疲乏力，面色白，头晕，耳鸣，心悸，夜寐不宁，舌质淡，脉细无力。</t>
    <phoneticPr fontId="1" type="noConversion"/>
  </si>
  <si>
    <t>齿衄，血色鲜红，齿龈红肿疼痛，头痛，口臭，舌红，苔黄，脉洪数。</t>
    <phoneticPr fontId="1" type="noConversion"/>
  </si>
  <si>
    <t>齿衄，血色淡红，起病较缓，常因受热及烦劳而诱发，齿摇不坚，舌质红，苔少，脉细数。</t>
    <phoneticPr fontId="1" type="noConversion"/>
  </si>
  <si>
    <t>喉痒咳嗽，痰中带血，口干鼻燥，或有身热，舌质红，少津，苔薄黄，脉数。</t>
    <phoneticPr fontId="1" type="noConversion"/>
  </si>
  <si>
    <t>咳嗽阵作，痰中带血或纯血鲜红，胸胁胀痛，烦躁易怒，口苦，舌质红，苔薄黄，脉弦数。</t>
    <phoneticPr fontId="1" type="noConversion"/>
  </si>
  <si>
    <t>咳嗽痰少，痰中带血或反复咳血，血色鲜红，口干咽燥，颧红，潮热盗汗，舌质红，脉细数。</t>
    <phoneticPr fontId="1" type="noConversion"/>
  </si>
  <si>
    <t>脘腹胀闷，甚则作痛，吐血色红或紫黯，常夹有食物残渣，口臭，便秘，大便色黑，舌质红，苔黄腻，脉滑数。</t>
    <phoneticPr fontId="1" type="noConversion"/>
  </si>
  <si>
    <t>吐血色红或紫黯，口苦胁痛，心烦易怒，寐少梦多，舌质红绛，脉弦数。</t>
    <phoneticPr fontId="1" type="noConversion"/>
  </si>
  <si>
    <t>吐血缠绵不止，时轻时重，血色暗淡，神疲乏力，心悸气短，面色苍白，舌质淡，脉细弱。</t>
    <phoneticPr fontId="1" type="noConversion"/>
  </si>
  <si>
    <t>便血色红，大便不畅或稀溏，或有腹痛，口苦，舌质红，苔黄腻，脉濡数。</t>
    <phoneticPr fontId="1" type="noConversion"/>
  </si>
  <si>
    <t>便血紫黯，甚则黑色，腹部隐痛，喜热饮，面色不华，神倦懒言，便溏，舌质淡，脉细。</t>
    <phoneticPr fontId="1" type="noConversion"/>
  </si>
  <si>
    <t>便血色红或紫黯，食少，体倦，面色萎黄，心悸，少寐，舌质淡，脉细。</t>
    <phoneticPr fontId="1" type="noConversion"/>
  </si>
  <si>
    <t>小便黄赤灼热，尿血鲜红，心烦口渴，面赤口疮，夜寐不安，舌质红，脉数。</t>
    <phoneticPr fontId="1" type="noConversion"/>
  </si>
  <si>
    <t>小便短赤带血，头晕耳鸣，神疲，颧红潮热，腰膝酸软，舌质红，脉细数。</t>
    <phoneticPr fontId="1" type="noConversion"/>
  </si>
  <si>
    <t>久病尿血，甚或兼见齿衄、肌衄，食少，体倦乏力，气短声低，面色不华，舌质淡，脉细弱。</t>
    <phoneticPr fontId="1" type="noConversion"/>
  </si>
  <si>
    <t>久病尿血，血色淡红，头晕耳鸣，精神困惫，腰脊酸痛，舌质淡，脉沉弱。</t>
    <phoneticPr fontId="1" type="noConversion"/>
  </si>
  <si>
    <t>痢下赤白，日久不愈，脓血黏稠，或下鲜血，脐下灼痛，虚坐努责，食少，心烦口干，至夜转剧，舌红绛少津，苔腻或花剥，脉细数。</t>
    <phoneticPr fontId="1" type="noConversion"/>
  </si>
  <si>
    <t>起病急骤，壮热口渴，头痛烦躁，恶心呕吐，大便频频，痢下鲜紫脓血，腹痛剧烈，后重感特著，甚者神昏惊厥，舌质红绛，舌苔黄燥，脉滑数或微欲绝。</t>
    <phoneticPr fontId="1" type="noConversion"/>
  </si>
  <si>
    <t>大便干结，腹胀腹痛，口干口臭，面红心烦或有身热，小便短赤，舌红苔黄燥，脉滑数。</t>
    <phoneticPr fontId="1" type="noConversion"/>
  </si>
  <si>
    <t>胁肋胀痛或刺痛，口苦口黏，胸闷纳呆，恶心呕吐，小便黄赤，大便不爽，或兼有身热恶寒，身目发黄，舌红苔黄腻，脉弦滑数。</t>
    <phoneticPr fontId="1" type="noConversion"/>
  </si>
  <si>
    <t>腹大坚满，脘腹胀急，烦热口苦，渴不欲饮，或有面目皮肤发黄，小便赤涩，大便秘结或溏垢，舌边尖红，苔黄腻或兼灰黑，脉象弦数。</t>
    <phoneticPr fontId="1" type="noConversion"/>
  </si>
  <si>
    <t>腹大胀满，或见青筋暴露，面色晦滞，唇紫，口干而燥，心烦失眠，时或鼻衄，牙龈出血，小便短少，舌质红绛少津、苔少或光剥，脉弦细数。</t>
    <phoneticPr fontId="1" type="noConversion"/>
  </si>
  <si>
    <t>遍体浮肿，皮肤绷急光亮，胸脘痞闷，烦热口渴，小便短赤，或大便干结，舌红苔黄腻，脉沉数或濡数。</t>
    <phoneticPr fontId="1" type="noConversion"/>
  </si>
  <si>
    <r>
      <t>心胸隐痛，时作时休，心悸气短，动则益甚，</t>
    </r>
    <r>
      <rPr>
        <sz val="12"/>
        <color rgb="FF000000"/>
        <rFont val="宋体"/>
        <family val="3"/>
        <charset val="134"/>
      </rPr>
      <t>伴倦怠乏力，声息低微，面色白，易汗出，</t>
    </r>
    <r>
      <rPr>
        <b/>
        <sz val="12"/>
        <color rgb="FFB30101"/>
        <rFont val="宋体"/>
        <family val="3"/>
        <charset val="134"/>
      </rPr>
      <t>舌质淡红，</t>
    </r>
    <r>
      <rPr>
        <sz val="12"/>
        <color rgb="FF000000"/>
        <rFont val="宋体"/>
        <family val="3"/>
        <charset val="134"/>
      </rPr>
      <t>舌体胖边有齿痕，苔薄白，</t>
    </r>
    <r>
      <rPr>
        <b/>
        <sz val="12"/>
        <color rgb="FFB30101"/>
        <rFont val="宋体"/>
        <family val="3"/>
        <charset val="134"/>
      </rPr>
      <t>脉虚细缓或结代。</t>
    </r>
    <phoneticPr fontId="1" type="noConversion"/>
  </si>
  <si>
    <r>
      <t>心悸而痛，胸闷气短，自汗，动则更甚，面色白，神倦怯寒，四肢欠温</t>
    </r>
    <r>
      <rPr>
        <sz val="12"/>
        <color rgb="FF000000"/>
        <rFont val="宋体"/>
        <family val="3"/>
        <charset val="134"/>
      </rPr>
      <t>或肿胀，舌质淡胖，边有齿痕，苔白或腻，脉沉细迟。</t>
    </r>
    <phoneticPr fontId="1" type="noConversion"/>
  </si>
  <si>
    <r>
      <t>心胸疼痛，如刺如绞，痛有定处，入夜为甚，</t>
    </r>
    <r>
      <rPr>
        <sz val="12"/>
        <color rgb="FF000000"/>
        <rFont val="宋体"/>
        <family val="3"/>
        <charset val="134"/>
      </rPr>
      <t>甚则心痛彻背，背痛彻心，或痛引肩背，伴有胸闷，日久不愈，</t>
    </r>
    <r>
      <rPr>
        <b/>
        <sz val="12"/>
        <color rgb="FFB30101"/>
        <rFont val="宋体"/>
        <family val="3"/>
        <charset val="134"/>
      </rPr>
      <t>可因暴怒、劳累而加重，舌质暗红，或紫暗，有瘀斑，舌下瘀筋，苔薄，脉弦涩。</t>
    </r>
    <phoneticPr fontId="1" type="noConversion"/>
  </si>
  <si>
    <r>
      <t>心胸满闷，隐痛阵发，痛无定处，</t>
    </r>
    <r>
      <rPr>
        <sz val="12"/>
        <color rgb="FF000000"/>
        <rFont val="宋体"/>
        <family val="3"/>
        <charset val="134"/>
      </rPr>
      <t>时欲太息，</t>
    </r>
    <r>
      <rPr>
        <b/>
        <sz val="12"/>
        <color rgb="FFB30101"/>
        <rFont val="宋体"/>
        <family val="3"/>
        <charset val="134"/>
      </rPr>
      <t>遇情志不遂时容易诱发或加重，</t>
    </r>
    <r>
      <rPr>
        <sz val="12"/>
        <color rgb="FF000000"/>
        <rFont val="宋体"/>
        <family val="3"/>
        <charset val="134"/>
      </rPr>
      <t>或兼有脘腹胀闷，得嗳气或矢气则舒，苔薄或薄腻，脉细弦。</t>
    </r>
    <phoneticPr fontId="1" type="noConversion"/>
  </si>
  <si>
    <r>
      <t>胸闷重而心痛微，痰多气短，</t>
    </r>
    <r>
      <rPr>
        <sz val="12"/>
        <color rgb="FF000000"/>
        <rFont val="宋体"/>
        <family val="3"/>
        <charset val="134"/>
      </rPr>
      <t>肢体沉重，形体肥胖，</t>
    </r>
    <r>
      <rPr>
        <b/>
        <sz val="12"/>
        <color rgb="FFB30101"/>
        <rFont val="宋体"/>
        <family val="3"/>
        <charset val="134"/>
      </rPr>
      <t>遇阴雨天而易发作或加重，</t>
    </r>
    <r>
      <rPr>
        <sz val="12"/>
        <color rgb="FF000000"/>
        <rFont val="宋体"/>
        <family val="3"/>
        <charset val="134"/>
      </rPr>
      <t>伴有倦怠乏力，纳呆便溏，咯吐痰涎，舌体胖大且边有齿痕，苔浊腻或白滑，脉滑。</t>
    </r>
    <phoneticPr fontId="1" type="noConversion"/>
  </si>
  <si>
    <r>
      <t>卒然心痛如绞，心痛彻背，喘不得卧，多因气候骤冷或骤感风寒而发病或加重，伴形寒，甚则手足不温，冷汗自出，</t>
    </r>
    <r>
      <rPr>
        <sz val="12"/>
        <color rgb="FF000000"/>
        <rFont val="宋体"/>
        <family val="3"/>
        <charset val="134"/>
      </rPr>
      <t>胸闷气短，心悸，面色苍白，</t>
    </r>
    <r>
      <rPr>
        <b/>
        <sz val="12"/>
        <color rgb="FFB30101"/>
        <rFont val="宋体"/>
        <family val="3"/>
        <charset val="134"/>
      </rPr>
      <t>苔薄白，脉沉紧或沉细。</t>
    </r>
    <phoneticPr fontId="1" type="noConversion"/>
  </si>
  <si>
    <r>
      <t>不寐多梦，</t>
    </r>
    <r>
      <rPr>
        <sz val="12"/>
        <color rgb="FF000000"/>
        <rFont val="宋体"/>
        <family val="3"/>
        <charset val="134"/>
      </rPr>
      <t>甚则彻夜不眠，</t>
    </r>
    <r>
      <rPr>
        <b/>
        <sz val="12"/>
        <color rgb="FFB30101"/>
        <rFont val="宋体"/>
        <family val="3"/>
        <charset val="134"/>
      </rPr>
      <t>急躁易怒，</t>
    </r>
    <r>
      <rPr>
        <sz val="12"/>
        <color rgb="FF000000"/>
        <rFont val="宋体"/>
        <family val="3"/>
        <charset val="134"/>
      </rPr>
      <t>伴头晕头胀，目赤耳鸣，</t>
    </r>
    <r>
      <rPr>
        <b/>
        <sz val="12"/>
        <color rgb="FFB30101"/>
        <rFont val="宋体"/>
        <family val="3"/>
        <charset val="134"/>
      </rPr>
      <t>口干而苦</t>
    </r>
    <r>
      <rPr>
        <sz val="12"/>
        <color rgb="FF000000"/>
        <rFont val="宋体"/>
        <family val="3"/>
        <charset val="134"/>
      </rPr>
      <t>，不思饮食，便秘溲赤，舌红苔黄，脉弦而数。</t>
    </r>
    <phoneticPr fontId="1" type="noConversion"/>
  </si>
  <si>
    <r>
      <t>心烦不寐，胸闷脘痞</t>
    </r>
    <r>
      <rPr>
        <sz val="12"/>
        <color rgb="FF000000"/>
        <rFont val="宋体"/>
        <family val="3"/>
        <charset val="134"/>
      </rPr>
      <t>，泛恶嗳气，伴</t>
    </r>
    <r>
      <rPr>
        <b/>
        <sz val="12"/>
        <color rgb="FFB30101"/>
        <rFont val="宋体"/>
        <family val="3"/>
        <charset val="134"/>
      </rPr>
      <t>口苦，头重，</t>
    </r>
    <r>
      <rPr>
        <sz val="12"/>
        <color rgb="FF000000"/>
        <rFont val="宋体"/>
        <family val="3"/>
        <charset val="134"/>
      </rPr>
      <t>目眩，舌偏红，苔黄腻，脉滑数。</t>
    </r>
    <phoneticPr fontId="1" type="noConversion"/>
  </si>
  <si>
    <r>
      <t>不易入睡，多梦易醒，心悸健忘，神疲食少，</t>
    </r>
    <r>
      <rPr>
        <sz val="12"/>
        <color rgb="FF000000"/>
        <rFont val="宋体"/>
        <family val="3"/>
        <charset val="134"/>
      </rPr>
      <t>伴头晕目眩，四肢倦怠，</t>
    </r>
    <r>
      <rPr>
        <b/>
        <sz val="12"/>
        <color rgb="FFB30101"/>
        <rFont val="宋体"/>
        <family val="3"/>
        <charset val="134"/>
      </rPr>
      <t>腹胀便溏，面色少华，</t>
    </r>
    <r>
      <rPr>
        <sz val="12"/>
        <color rgb="FF000000"/>
        <rFont val="宋体"/>
        <family val="3"/>
        <charset val="134"/>
      </rPr>
      <t>舌淡苔薄，脉细无力。</t>
    </r>
    <phoneticPr fontId="1" type="noConversion"/>
  </si>
  <si>
    <r>
      <t>虚烦不寐，触事易惊，终日惕惕，胆怯心悸，伴气短自汗，倦怠乏力，</t>
    </r>
    <r>
      <rPr>
        <sz val="12"/>
        <color rgb="FF000000"/>
        <rFont val="宋体"/>
        <family val="3"/>
        <charset val="134"/>
      </rPr>
      <t>舌淡，脉弦细。</t>
    </r>
    <phoneticPr fontId="1" type="noConversion"/>
  </si>
  <si>
    <r>
      <t>心烦不寐，</t>
    </r>
    <r>
      <rPr>
        <sz val="12"/>
        <color rgb="FF000000"/>
        <rFont val="宋体"/>
        <family val="3"/>
        <charset val="134"/>
      </rPr>
      <t>入睡困难，</t>
    </r>
    <r>
      <rPr>
        <b/>
        <sz val="12"/>
        <color rgb="FFB30101"/>
        <rFont val="宋体"/>
        <family val="3"/>
        <charset val="134"/>
      </rPr>
      <t>心悸多梦，伴头晕耳鸣，腰膝酸软，潮热盗汗，五心烦热，</t>
    </r>
    <r>
      <rPr>
        <sz val="12"/>
        <color rgb="FF000000"/>
        <rFont val="宋体"/>
        <family val="3"/>
        <charset val="134"/>
      </rPr>
      <t>咽干少津，男子遗精，女子月经不调，</t>
    </r>
    <r>
      <rPr>
        <b/>
        <sz val="12"/>
        <color rgb="FFB30101"/>
        <rFont val="宋体"/>
        <family val="3"/>
        <charset val="134"/>
      </rPr>
      <t>舌红少苔，脉细数。</t>
    </r>
    <phoneticPr fontId="1" type="noConversion"/>
  </si>
  <si>
    <r>
      <t>精神抑郁，表情淡漠，沉默痴呆，时时太息，言语无序，或喃喃自语，</t>
    </r>
    <r>
      <rPr>
        <sz val="12"/>
        <color rgb="FF000000"/>
        <rFont val="宋体"/>
        <family val="3"/>
        <charset val="134"/>
      </rPr>
      <t>多疑多虑，</t>
    </r>
    <r>
      <rPr>
        <b/>
        <sz val="12"/>
        <color rgb="FFB30101"/>
        <rFont val="宋体"/>
        <family val="3"/>
        <charset val="134"/>
      </rPr>
      <t>喜怒无常，秽洁不分，</t>
    </r>
    <r>
      <rPr>
        <sz val="12"/>
        <color rgb="FF000000"/>
        <rFont val="宋体"/>
        <family val="3"/>
        <charset val="134"/>
      </rPr>
      <t>不思饮食，</t>
    </r>
    <r>
      <rPr>
        <b/>
        <sz val="12"/>
        <color rgb="FFB30101"/>
        <rFont val="宋体"/>
        <family val="3"/>
        <charset val="134"/>
      </rPr>
      <t>舌红苔腻而白，脉弦滑。</t>
    </r>
    <phoneticPr fontId="1" type="noConversion"/>
  </si>
  <si>
    <r>
      <t>神思恍惚，魂梦颠倒，心悸易惊，善悲欲哭，肢体困乏，饮食锐减，言语无序，</t>
    </r>
    <r>
      <rPr>
        <sz val="12"/>
        <color rgb="FF000000"/>
        <rFont val="宋体"/>
        <family val="3"/>
        <charset val="134"/>
      </rPr>
      <t>舌淡苔薄白，脉沉细无力。</t>
    </r>
    <phoneticPr fontId="1" type="noConversion"/>
  </si>
  <si>
    <r>
      <t>素有性情急躁，头痛失眠，两目怒视，面红目赤，突发狂乱无知，骂詈号叫，不避亲疏，逾垣上屋，或毁物伤人，</t>
    </r>
    <r>
      <rPr>
        <sz val="12"/>
        <color rgb="FF000000"/>
        <rFont val="宋体"/>
        <family val="3"/>
        <charset val="134"/>
      </rPr>
      <t>气力逾常，不食不眠。</t>
    </r>
    <r>
      <rPr>
        <b/>
        <sz val="12"/>
        <color rgb="FFB30101"/>
        <rFont val="宋体"/>
        <family val="3"/>
        <charset val="134"/>
      </rPr>
      <t>舌红绛，苔多黄腻或黄燥而垢，脉弦大滑数。</t>
    </r>
    <phoneticPr fontId="1" type="noConversion"/>
  </si>
  <si>
    <r>
      <t>癫狂日久不愈，面色晦滞而秽，情绪躁扰不安，</t>
    </r>
    <r>
      <rPr>
        <sz val="12"/>
        <color rgb="FF000000"/>
        <rFont val="宋体"/>
        <family val="3"/>
        <charset val="134"/>
      </rPr>
      <t>多言不序，恼怒不休；甚至登高而歌，弃衣而走，妄见妄闻，妄思离奇，头痛，</t>
    </r>
    <r>
      <rPr>
        <b/>
        <sz val="12"/>
        <color rgb="FFB30101"/>
        <rFont val="宋体"/>
        <family val="3"/>
        <charset val="134"/>
      </rPr>
      <t>心悸而烦，舌质紫暗，有瘀斑，少苔或薄黄苔干，脉弦细或细涩。</t>
    </r>
    <phoneticPr fontId="1" type="noConversion"/>
  </si>
  <si>
    <r>
      <t>癫狂久延，时作时止，势已较缓，妄言妄为，呼之已能自制，但有疲惫之象，寝不安寐，烦惋焦躁，形瘦面红而秽，</t>
    </r>
    <r>
      <rPr>
        <sz val="12"/>
        <color rgb="FF000000"/>
        <rFont val="宋体"/>
        <family val="3"/>
        <charset val="134"/>
      </rPr>
      <t>口干便难，</t>
    </r>
    <r>
      <rPr>
        <b/>
        <sz val="12"/>
        <color rgb="FFB30101"/>
        <rFont val="宋体"/>
        <family val="3"/>
        <charset val="134"/>
      </rPr>
      <t>舌尖红无苔有剥裂，脉细数。</t>
    </r>
    <phoneticPr fontId="1" type="noConversion"/>
  </si>
  <si>
    <r>
      <t>发作时昏仆抽搐</t>
    </r>
    <r>
      <rPr>
        <sz val="12"/>
        <color rgb="FF000000"/>
        <rFont val="Calibri"/>
        <family val="2"/>
      </rPr>
      <t>,</t>
    </r>
    <r>
      <rPr>
        <sz val="12"/>
        <color rgb="FF000000"/>
        <rFont val="宋体"/>
        <family val="3"/>
        <charset val="134"/>
      </rPr>
      <t>吐涎或吼叫，平时急躁易怒，心烦失眠，咯痰不爽，口苦咽干，便秘溲黄，病发后，症情加重，彻夜难眠，目赤</t>
    </r>
    <r>
      <rPr>
        <sz val="12"/>
        <color rgb="FF000000"/>
        <rFont val="Calibri"/>
        <family val="2"/>
      </rPr>
      <t>,</t>
    </r>
    <r>
      <rPr>
        <sz val="12"/>
        <color rgb="FF000000"/>
        <rFont val="宋体"/>
        <family val="3"/>
        <charset val="134"/>
      </rPr>
      <t>舌红，苔黄腻，脉弦滑而数。</t>
    </r>
    <phoneticPr fontId="1" type="noConversion"/>
  </si>
  <si>
    <r>
      <t>平素头晕头痛，痛有定处，常伴单侧肢体抽搐，或一侧面部抽动</t>
    </r>
    <r>
      <rPr>
        <sz val="12"/>
        <color rgb="FF000000"/>
        <rFont val="Calibri"/>
        <family val="2"/>
      </rPr>
      <t>,</t>
    </r>
    <r>
      <rPr>
        <sz val="12"/>
        <color rgb="FF000000"/>
        <rFont val="宋体"/>
        <family val="3"/>
        <charset val="134"/>
      </rPr>
      <t>颜面口唇紫。多继发于颅脑外伤、产伤、颅内感染性疾患等，或先天脑发育不全，舌质暗红或有瘀斑，舌苔薄白，脉涩，或弦。</t>
    </r>
    <phoneticPr fontId="1" type="noConversion"/>
  </si>
  <si>
    <r>
      <t>痫病频发，神思恍惚，头晕目眩，两目干涩，面色晦暗</t>
    </r>
    <r>
      <rPr>
        <sz val="12"/>
        <color rgb="FF000000"/>
        <rFont val="Calibri"/>
        <family val="2"/>
      </rPr>
      <t>,</t>
    </r>
    <r>
      <rPr>
        <sz val="12"/>
        <color rgb="FF000000"/>
        <rFont val="宋体"/>
        <family val="3"/>
        <charset val="134"/>
      </rPr>
      <t>耳轮焦枯不泽，心悸健忘失眠，腰膝酸软、大便干燥，舌质淡红，脉沉细而数。</t>
    </r>
    <phoneticPr fontId="1" type="noConversion"/>
  </si>
  <si>
    <r>
      <t>胃脘隐隐灼痛</t>
    </r>
    <r>
      <rPr>
        <sz val="12"/>
        <color rgb="FF000000"/>
        <rFont val="宋体"/>
        <family val="3"/>
        <charset val="134"/>
      </rPr>
      <t>，似</t>
    </r>
    <r>
      <rPr>
        <sz val="12"/>
        <color rgb="FFBF0000"/>
        <rFont val="宋体"/>
        <family val="3"/>
        <charset val="134"/>
      </rPr>
      <t>饥而不欲食</t>
    </r>
    <r>
      <rPr>
        <sz val="12"/>
        <color rgb="FF000000"/>
        <rFont val="宋体"/>
        <family val="3"/>
        <charset val="134"/>
      </rPr>
      <t>，口燥咽干，</t>
    </r>
    <r>
      <rPr>
        <b/>
        <sz val="12"/>
        <color rgb="FFB30101"/>
        <rFont val="宋体"/>
        <family val="3"/>
        <charset val="134"/>
      </rPr>
      <t>五心烦热，消瘦乏力，口渴思饮</t>
    </r>
    <r>
      <rPr>
        <sz val="12"/>
        <color rgb="FF000000"/>
        <rFont val="宋体"/>
        <family val="3"/>
        <charset val="134"/>
      </rPr>
      <t>，大便干结，</t>
    </r>
    <r>
      <rPr>
        <b/>
        <sz val="12"/>
        <color rgb="FFB30101"/>
        <rFont val="宋体"/>
        <family val="3"/>
        <charset val="134"/>
      </rPr>
      <t>舌红少津，脉细数。</t>
    </r>
    <phoneticPr fontId="1" type="noConversion"/>
  </si>
  <si>
    <r>
      <t>胃痛隐隐，绵绵不休，喜温喜按，空腹痛甚，得食则缓，劳累或受凉后发作或加重</t>
    </r>
    <r>
      <rPr>
        <sz val="12"/>
        <color rgb="FF000000"/>
        <rFont val="宋体"/>
        <family val="3"/>
        <charset val="134"/>
      </rPr>
      <t>，泛吐清水，</t>
    </r>
    <r>
      <rPr>
        <b/>
        <sz val="12"/>
        <color rgb="FFB30101"/>
        <rFont val="宋体"/>
        <family val="3"/>
        <charset val="134"/>
      </rPr>
      <t>神疲纳呆，四肢倦怠，手足不温，大便溏薄</t>
    </r>
    <r>
      <rPr>
        <sz val="12"/>
        <color rgb="FF000000"/>
        <rFont val="宋体"/>
        <family val="3"/>
        <charset val="134"/>
      </rPr>
      <t>，舌淡苔白，脉虚弱或迟缓。</t>
    </r>
    <phoneticPr fontId="1" type="noConversion"/>
  </si>
  <si>
    <r>
      <t>胃痛暴作，恶寒喜暖，得温痛减，遇寒加重</t>
    </r>
    <r>
      <rPr>
        <sz val="12"/>
        <color rgb="FF000000"/>
        <rFont val="宋体"/>
        <family val="3"/>
        <charset val="134"/>
      </rPr>
      <t>，口淡不渴，或喜热饮，舌淡苔薄白，</t>
    </r>
    <r>
      <rPr>
        <b/>
        <sz val="12"/>
        <color rgb="FFB30101"/>
        <rFont val="宋体"/>
        <family val="3"/>
        <charset val="134"/>
      </rPr>
      <t>脉弦紧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</si>
  <si>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胃脘疼痛，胀满拒按，嗳腐吞酸，或呕吐不消化食物，其味腐臭，吐后痛减，</t>
    </r>
    <r>
      <rPr>
        <sz val="12"/>
        <color rgb="FF000000"/>
        <rFont val="宋体"/>
        <family val="3"/>
        <charset val="134"/>
      </rPr>
      <t>不思饮食，大便不爽，得矢气及便后稍舒，舌苔厚腻，脉滑。</t>
    </r>
    <phoneticPr fontId="1" type="noConversion"/>
  </si>
  <si>
    <r>
      <t>胃脘疼痛，痛势急迫，脘闷灼热，口干口苦，口渴而不欲饮，身重疲倦，纳呆恶心，小便色黄，大便不畅，舌苔黄腻，脉滑数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</si>
  <si>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脘胀痛，痛连两胁，遇烦恼则痛作或痛甚，</t>
    </r>
    <r>
      <rPr>
        <sz val="12"/>
        <color rgb="FF000000"/>
        <rFont val="宋体"/>
        <family val="3"/>
        <charset val="134"/>
      </rPr>
      <t>嗳气、矢气则痛舒，胸闷嗳气，</t>
    </r>
    <r>
      <rPr>
        <b/>
        <sz val="12"/>
        <color rgb="FFB30101"/>
        <rFont val="宋体"/>
        <family val="3"/>
        <charset val="134"/>
      </rPr>
      <t>喜长叹息</t>
    </r>
    <r>
      <rPr>
        <sz val="12"/>
        <color rgb="FF000000"/>
        <rFont val="宋体"/>
        <family val="3"/>
        <charset val="134"/>
      </rPr>
      <t>，大便不畅，舌苔薄白，脉弦。</t>
    </r>
    <phoneticPr fontId="1" type="noConversion"/>
  </si>
  <si>
    <r>
      <t>胃脘疼痛，如针刺、似刀割，痛有定处，按之痛甚</t>
    </r>
    <r>
      <rPr>
        <sz val="12"/>
        <color rgb="FF000000"/>
        <rFont val="宋体"/>
        <family val="3"/>
        <charset val="134"/>
      </rPr>
      <t>，痛时持久，食后加剧，入夜尤甚，或见</t>
    </r>
    <r>
      <rPr>
        <b/>
        <sz val="12"/>
        <color rgb="FFB30101"/>
        <rFont val="宋体"/>
        <family val="3"/>
        <charset val="134"/>
      </rPr>
      <t>吐血黑便，舌质紫黯或有瘀斑，脉涩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</si>
  <si>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突然呕吐，胸脘满闷，发热恶寒，头身疼痛</t>
    </r>
    <r>
      <rPr>
        <sz val="12"/>
        <color rgb="FF000000"/>
        <rFont val="宋体"/>
        <family val="3"/>
        <charset val="134"/>
      </rPr>
      <t>，舌苔白腻，脉濡缓。</t>
    </r>
    <phoneticPr fontId="1" type="noConversion"/>
  </si>
  <si>
    <r>
      <t>呕吐酸腐，脘腹胀满，嗳气厌食</t>
    </r>
    <r>
      <rPr>
        <sz val="12"/>
        <color rgb="FF000000"/>
        <rFont val="宋体"/>
        <family val="3"/>
        <charset val="134"/>
      </rPr>
      <t>，大便或溏或结，舌苔厚腻，脉滑实。</t>
    </r>
    <phoneticPr fontId="1" type="noConversion"/>
  </si>
  <si>
    <r>
      <t>呕吐吞酸，嗳气频繁，胸胁胀痛</t>
    </r>
    <r>
      <rPr>
        <sz val="12"/>
        <color rgb="FF000000"/>
        <rFont val="宋体"/>
        <family val="3"/>
        <charset val="134"/>
      </rPr>
      <t>，舌质红，苔薄腻，脉弦。</t>
    </r>
    <phoneticPr fontId="1" type="noConversion"/>
  </si>
  <si>
    <r>
      <t>呕吐清水痰涎</t>
    </r>
    <r>
      <rPr>
        <sz val="12"/>
        <color rgb="FF000000"/>
        <rFont val="宋体"/>
        <family val="3"/>
        <charset val="134"/>
      </rPr>
      <t>，脘闷不食，头眩心悸，舌苔白腻，脉滑。</t>
    </r>
    <phoneticPr fontId="1" type="noConversion"/>
  </si>
  <si>
    <r>
      <t>食欲不振，食入难化</t>
    </r>
    <r>
      <rPr>
        <sz val="12"/>
        <color rgb="FF000000"/>
        <rFont val="宋体"/>
        <family val="3"/>
        <charset val="134"/>
      </rPr>
      <t>，恶心呕吐，脘部痞闷，大便不畅，舌苔白滑，脉象虚弦。</t>
    </r>
    <phoneticPr fontId="1" type="noConversion"/>
  </si>
  <si>
    <r>
      <t>饮食稍多即吐，时作时止，面白，倦怠乏力，喜暖恶寒，四肢不温，口干而不欲饮</t>
    </r>
    <r>
      <rPr>
        <sz val="12"/>
        <color rgb="FF000000"/>
        <rFont val="宋体"/>
        <family val="3"/>
        <charset val="134"/>
      </rPr>
      <t>，大便溏薄，舌质淡，脉濡弱。</t>
    </r>
    <phoneticPr fontId="1" type="noConversion"/>
  </si>
  <si>
    <r>
      <t>呕吐反复发作，或时作干呕，似饥而不欲食，口燥咽干，舌红少津，脉象细数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</si>
  <si>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腹痛绵绵，时作时止，喜温喜按，形寒肢冷</t>
    </r>
    <r>
      <rPr>
        <sz val="12"/>
        <color rgb="FF000000"/>
        <rFont val="宋体"/>
        <family val="3"/>
        <charset val="134"/>
      </rPr>
      <t>，神疲乏力，气短懒言，胃纳不佳，面色无华。大便溏薄，舌质淡，苔薄白，脉沉细。</t>
    </r>
    <phoneticPr fontId="1" type="noConversion"/>
  </si>
  <si>
    <r>
      <t>腹痛拘急，遇寒痛甚，得温痛减，口淡不渴，形寒肢冷</t>
    </r>
    <r>
      <rPr>
        <sz val="12"/>
        <color rgb="FF000000"/>
        <rFont val="宋体"/>
        <family val="3"/>
        <charset val="134"/>
      </rPr>
      <t>，小便清长，大便清稀或秘结，舌质淡，苔白腻，脉沉紧。</t>
    </r>
    <phoneticPr fontId="1" type="noConversion"/>
  </si>
  <si>
    <r>
      <t>腹痛拒按，烦渴引饮，大便秘结，或溏滞不爽，潮热汗出，小便短黄，舌质红，苔黄燥或黄腻，脉滑数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</si>
  <si>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腹痛胀闷，痛无定处，痛引少腹，或兼痛窜两胁，时作时止，得嗳气、矢气则舒，遇忧思恼怒则剧</t>
    </r>
    <r>
      <rPr>
        <sz val="12"/>
        <color rgb="FF000000"/>
        <rFont val="宋体"/>
        <family val="3"/>
        <charset val="134"/>
      </rPr>
      <t>，舌质红，苔薄白，脉弦。</t>
    </r>
    <phoneticPr fontId="1" type="noConversion"/>
  </si>
  <si>
    <r>
      <t>腹痛较剧，痛如针刺，痛处固定</t>
    </r>
    <r>
      <rPr>
        <sz val="12"/>
        <color rgb="FF000000"/>
        <rFont val="宋体"/>
        <family val="3"/>
        <charset val="134"/>
      </rPr>
      <t>，经久不愈，</t>
    </r>
    <r>
      <rPr>
        <b/>
        <sz val="12"/>
        <color rgb="FFB30101"/>
        <rFont val="宋体"/>
        <family val="3"/>
        <charset val="134"/>
      </rPr>
      <t>舌质紫黯，脉细涩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</si>
  <si>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泄泻清稀，甚则如水样，脘闷食少，腹痛肠鸣，舌质淡，苔白腻，脉濡缓</t>
    </r>
    <r>
      <rPr>
        <sz val="12"/>
        <color rgb="FF000000"/>
        <rFont val="宋体"/>
        <family val="3"/>
        <charset val="134"/>
      </rPr>
      <t>。若兼外感风寒，则恶寒发热头痛，肢体酸痛，苔薄白，脉浮。</t>
    </r>
    <phoneticPr fontId="1" type="noConversion"/>
  </si>
  <si>
    <r>
      <t>泄泻腹痛，泻下急迫，或泻而不爽，粪色黄褐，气味臭秽</t>
    </r>
    <r>
      <rPr>
        <sz val="12"/>
        <color rgb="FF000000"/>
        <rFont val="宋体"/>
        <family val="3"/>
        <charset val="134"/>
      </rPr>
      <t>，肛门灼热，烦热口渴，小便短黄，舌质红，苔黄腻，脉滑数或濡数。</t>
    </r>
    <phoneticPr fontId="1" type="noConversion"/>
  </si>
  <si>
    <r>
      <t>腹痛肠鸣，泻下粪便，臭如败卵</t>
    </r>
    <r>
      <rPr>
        <sz val="12"/>
        <color rgb="FF000000"/>
        <rFont val="宋体"/>
        <family val="3"/>
        <charset val="134"/>
      </rPr>
      <t>，泻后痛减，脘腹胀满，</t>
    </r>
    <r>
      <rPr>
        <b/>
        <sz val="12"/>
        <color rgb="FFB30101"/>
        <rFont val="宋体"/>
        <family val="3"/>
        <charset val="134"/>
      </rPr>
      <t>嗳腐酸臭</t>
    </r>
    <r>
      <rPr>
        <sz val="12"/>
        <color rgb="FF000000"/>
        <rFont val="宋体"/>
        <family val="3"/>
        <charset val="134"/>
      </rPr>
      <t>，不思饮食，舌苔垢浊或厚腻，脉滑。</t>
    </r>
    <phoneticPr fontId="1" type="noConversion"/>
  </si>
  <si>
    <r>
      <t>素有胸胁胀闷，嗳气食少，每因抑郁恼怒，或情绪紧张之时，发生腹痛泄泻，</t>
    </r>
    <r>
      <rPr>
        <sz val="12"/>
        <color rgb="FF000000"/>
        <rFont val="宋体"/>
        <family val="3"/>
        <charset val="134"/>
      </rPr>
      <t>腹中雷鸣，攻窜作痛，矢气频作，舌淡红，脉弦。</t>
    </r>
    <phoneticPr fontId="1" type="noConversion"/>
  </si>
  <si>
    <r>
      <t>大便时溏时泻，迁延反复，食少，食后脘闷不舒，稍进油腻食物，则大便次数明显增加，面色萎黄</t>
    </r>
    <r>
      <rPr>
        <sz val="12"/>
        <color rgb="FF000000"/>
        <rFont val="宋体"/>
        <family val="3"/>
        <charset val="134"/>
      </rPr>
      <t>，神疲倦怠，舌质淡，苔白，脉细弱。</t>
    </r>
    <phoneticPr fontId="1" type="noConversion"/>
  </si>
  <si>
    <r>
      <t>黎明之前脐腹作痛，肠鸣即泻，泻下完谷</t>
    </r>
    <r>
      <rPr>
        <sz val="12"/>
        <color rgb="FF000000"/>
        <rFont val="宋体"/>
        <family val="3"/>
        <charset val="134"/>
      </rPr>
      <t>，泻后则安，</t>
    </r>
    <r>
      <rPr>
        <b/>
        <sz val="12"/>
        <color rgb="FFB30101"/>
        <rFont val="宋体"/>
        <family val="3"/>
        <charset val="134"/>
      </rPr>
      <t>形寒肢冷，腰膝酸软</t>
    </r>
    <r>
      <rPr>
        <sz val="12"/>
        <color rgb="FF000000"/>
        <rFont val="宋体"/>
        <family val="3"/>
        <charset val="134"/>
      </rPr>
      <t>，舌淡苔白，脉沉细。</t>
    </r>
    <phoneticPr fontId="1" type="noConversion"/>
  </si>
  <si>
    <r>
      <t>腹部隐痛，缠绵不已，喜按喜温，痢下赤白清稀</t>
    </r>
    <r>
      <rPr>
        <sz val="12"/>
        <color rgb="FF000000"/>
        <rFont val="宋体"/>
        <family val="3"/>
        <charset val="134"/>
      </rPr>
      <t>，无腥臭，或为白冻，甚则滑脱不禁，肛门坠胀，便后更甚，形</t>
    </r>
    <r>
      <rPr>
        <b/>
        <sz val="12"/>
        <color rgb="FFB30101"/>
        <rFont val="宋体"/>
        <family val="3"/>
        <charset val="134"/>
      </rPr>
      <t>寒畏冷，四肢不温，食少神疲，腰膝酸软，舌淡苔薄白，脉沉细弱。</t>
    </r>
    <phoneticPr fontId="1" type="noConversion"/>
  </si>
  <si>
    <r>
      <t>腹痛拘急，痢下赤白黏冻，白多赤少</t>
    </r>
    <r>
      <rPr>
        <sz val="12"/>
        <color rgb="FF000000"/>
        <rFont val="宋体"/>
        <family val="3"/>
        <charset val="134"/>
      </rPr>
      <t>，或为纯白冻，里急后重，口淡乏味，脘胀腹满，头身困重，舌质或淡，舌苔白腻，脉濡缓。</t>
    </r>
    <phoneticPr fontId="1" type="noConversion"/>
  </si>
  <si>
    <r>
      <t>腹部疼痛，里急后重，痢下赤白脓血，黏稠如胶冻，腥臭，肛门灼热，小便短赤，舌苔黄腻</t>
    </r>
    <r>
      <rPr>
        <sz val="12"/>
        <color rgb="FF000000"/>
        <rFont val="宋体"/>
        <family val="3"/>
        <charset val="134"/>
      </rPr>
      <t>，脉滑数。</t>
    </r>
    <phoneticPr fontId="1" type="noConversion"/>
  </si>
  <si>
    <r>
      <t>下痢时发时止，迁延不愈</t>
    </r>
    <r>
      <rPr>
        <sz val="12"/>
        <color rgb="FF000000"/>
        <rFont val="宋体"/>
        <family val="3"/>
        <charset val="134"/>
      </rPr>
      <t>，常因饮食不当、受凉、劳累而发，发时大便次数增多，夹有赤白黏冻，腹胀食少，倦怠嗜卧，舌质淡苔腻，脉濡软或虚数。</t>
    </r>
    <phoneticPr fontId="1" type="noConversion"/>
  </si>
  <si>
    <r>
      <t>大便艰涩，腹痛拘急，胀满拒按，胁痛，手足不温</t>
    </r>
    <r>
      <rPr>
        <sz val="12"/>
        <color rgb="FF000000"/>
        <rFont val="宋体"/>
        <family val="3"/>
        <charset val="134"/>
      </rPr>
      <t>，呃逆呕吐，</t>
    </r>
    <r>
      <rPr>
        <b/>
        <sz val="12"/>
        <color rgb="FFB30101"/>
        <rFont val="宋体"/>
        <family val="3"/>
        <charset val="134"/>
      </rPr>
      <t>舌苔白腻，脉弦紧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</si>
  <si>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大便干结，或不甚干结，欲便不得出，或便而不爽，肠鸣矢气，腹中胀痛，嗳气频作</t>
    </r>
    <r>
      <rPr>
        <sz val="12"/>
        <color rgb="FF000000"/>
        <rFont val="宋体"/>
        <family val="3"/>
        <charset val="134"/>
      </rPr>
      <t>，纳食减少，胸胁痞满，舌苔薄腻，脉弦。</t>
    </r>
    <phoneticPr fontId="1" type="noConversion"/>
  </si>
  <si>
    <r>
      <t>大便并不干硬，虽有便意，但排便困难，用力努挣则汗出短气</t>
    </r>
    <r>
      <rPr>
        <sz val="12"/>
        <color rgb="FF000000"/>
        <rFont val="宋体"/>
        <family val="3"/>
        <charset val="134"/>
      </rPr>
      <t>，便后乏力，面白神疲，肢倦懒言，舌淡苔白，脉弱。</t>
    </r>
    <phoneticPr fontId="1" type="noConversion"/>
  </si>
  <si>
    <r>
      <t>大便干结，面色无华</t>
    </r>
    <r>
      <rPr>
        <sz val="12"/>
        <color rgb="FF000000"/>
        <rFont val="宋体"/>
        <family val="3"/>
        <charset val="134"/>
      </rPr>
      <t>，头晕目眩，心悸气短，健忘，</t>
    </r>
    <r>
      <rPr>
        <b/>
        <sz val="12"/>
        <color rgb="FFB30101"/>
        <rFont val="宋体"/>
        <family val="3"/>
        <charset val="134"/>
      </rPr>
      <t>口唇色淡</t>
    </r>
    <r>
      <rPr>
        <sz val="12"/>
        <color rgb="FF000000"/>
        <rFont val="宋体"/>
        <family val="3"/>
        <charset val="134"/>
      </rPr>
      <t>，舌淡苔白，脉细。</t>
    </r>
    <phoneticPr fontId="1" type="noConversion"/>
  </si>
  <si>
    <r>
      <t>大便干结，如羊屎状，形体消瘦，头晕耳鸣，两颧红赤，心烦少眠，潮热盗汗，腰膝酸软，舌红少苔，脉细数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</si>
  <si>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大便干或不干，排出困难，小便清长，面色白，四肢不温，腹中冷痛，或腰膝酸冷</t>
    </r>
    <r>
      <rPr>
        <sz val="12"/>
        <color rgb="FF000000"/>
        <rFont val="宋体"/>
        <family val="3"/>
        <charset val="134"/>
      </rPr>
      <t>，舌淡苔白，脉沉迟。</t>
    </r>
    <phoneticPr fontId="1" type="noConversion"/>
  </si>
  <si>
    <r>
      <t>胁肋胀痛，走窜不定</t>
    </r>
    <r>
      <rPr>
        <sz val="12"/>
        <color rgb="FF000000"/>
        <rFont val="宋体"/>
        <family val="3"/>
        <charset val="134"/>
      </rPr>
      <t>，甚则引及胸背肩臂，</t>
    </r>
    <r>
      <rPr>
        <b/>
        <sz val="12"/>
        <color rgb="FFB30101"/>
        <rFont val="宋体"/>
        <family val="3"/>
        <charset val="134"/>
      </rPr>
      <t>疼痛每因情志变化而增减</t>
    </r>
    <r>
      <rPr>
        <sz val="12"/>
        <color rgb="FF000000"/>
        <rFont val="宋体"/>
        <family val="3"/>
        <charset val="134"/>
      </rPr>
      <t>，胸闷腹胀，嗳气频作，</t>
    </r>
    <r>
      <rPr>
        <b/>
        <sz val="12"/>
        <color rgb="FFB30101"/>
        <rFont val="宋体"/>
        <family val="3"/>
        <charset val="134"/>
      </rPr>
      <t>得嗳气而胀痛稍舒</t>
    </r>
    <r>
      <rPr>
        <sz val="12"/>
        <color rgb="FF000000"/>
        <rFont val="宋体"/>
        <family val="3"/>
        <charset val="134"/>
      </rPr>
      <t>，纳少口苦。舌苔薄白，脉弦。</t>
    </r>
    <phoneticPr fontId="1" type="noConversion"/>
  </si>
  <si>
    <r>
      <t>胁肋刺痛，痛有定处</t>
    </r>
    <r>
      <rPr>
        <sz val="12"/>
        <color rgb="FF000000"/>
        <rFont val="宋体"/>
        <family val="3"/>
        <charset val="134"/>
      </rPr>
      <t>，痛处拒按，入夜痛甚，胁肋下或见有癥块，</t>
    </r>
    <r>
      <rPr>
        <b/>
        <sz val="12"/>
        <color rgb="FFB30101"/>
        <rFont val="宋体"/>
        <family val="3"/>
        <charset val="134"/>
      </rPr>
      <t>舌质紫暗，脉象沉涩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</si>
  <si>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胁肋隐痛，悠悠不休，遇劳加重，</t>
    </r>
    <r>
      <rPr>
        <sz val="12"/>
        <color rgb="FF000000"/>
        <rFont val="宋体"/>
        <family val="3"/>
        <charset val="134"/>
      </rPr>
      <t>口干咽燥，心中烦热，头晕目眩，舌红少苔，脉细弦而数。</t>
    </r>
    <phoneticPr fontId="1" type="noConversion"/>
  </si>
  <si>
    <r>
      <t>发病急骤，黄疸迅速加深，其色如金</t>
    </r>
    <r>
      <rPr>
        <sz val="12"/>
        <color rgb="FF000000"/>
        <rFont val="宋体"/>
        <family val="3"/>
        <charset val="134"/>
      </rPr>
      <t>，皮肤瘙痒，高热口渴，胁痛腹满，</t>
    </r>
    <r>
      <rPr>
        <b/>
        <sz val="12"/>
        <color rgb="FFB30101"/>
        <rFont val="宋体"/>
        <family val="3"/>
        <charset val="134"/>
      </rPr>
      <t>神昏谵语，烦躁抽搐，或见衄血、便血</t>
    </r>
    <r>
      <rPr>
        <sz val="12"/>
        <color rgb="FF000000"/>
        <rFont val="宋体"/>
        <family val="3"/>
        <charset val="134"/>
      </rPr>
      <t>，或肌肤瘀斑，舌质红绛，苔黄而燥，脉弦滑或数。</t>
    </r>
    <phoneticPr fontId="1" type="noConversion"/>
  </si>
  <si>
    <r>
      <t>身目俱黄，黄色晦暗，或如烟熏</t>
    </r>
    <r>
      <rPr>
        <sz val="12"/>
        <color rgb="FF000000"/>
        <rFont val="宋体"/>
        <family val="3"/>
        <charset val="134"/>
      </rPr>
      <t>，脘腹痞胀，纳谷减少，大便不实，神疲畏寒，口淡不渴，舌淡，苔腻，脉濡缓或沉迟。</t>
    </r>
    <phoneticPr fontId="1" type="noConversion"/>
  </si>
  <si>
    <r>
      <t>身目俱黄，黄色鲜明</t>
    </r>
    <r>
      <rPr>
        <sz val="12"/>
        <color rgb="FF000000"/>
        <rFont val="宋体"/>
        <family val="3"/>
        <charset val="134"/>
      </rPr>
      <t>，发热口渴，或见心中懊恼，腹部胀闷，口干而苦，恶心呕吐，小便短少黄赤，大便秘结。</t>
    </r>
    <r>
      <rPr>
        <b/>
        <sz val="12"/>
        <color rgb="FFB30101"/>
        <rFont val="宋体"/>
        <family val="3"/>
        <charset val="134"/>
      </rPr>
      <t>舌苔黄腻</t>
    </r>
    <r>
      <rPr>
        <sz val="12"/>
        <color rgb="FF000000"/>
        <rFont val="宋体"/>
        <family val="3"/>
        <charset val="134"/>
      </rPr>
      <t>，脉象弦数。</t>
    </r>
    <phoneticPr fontId="1" type="noConversion"/>
  </si>
  <si>
    <r>
      <t>身目俱黄，黄色不及前者鲜明</t>
    </r>
    <r>
      <rPr>
        <sz val="12"/>
        <color rgb="FF000000"/>
        <rFont val="宋体"/>
        <family val="3"/>
        <charset val="134"/>
      </rPr>
      <t>，头重身困，胸脘痞满，食欲减退，恶心呕吐，腹胀或大便溏垢，</t>
    </r>
    <r>
      <rPr>
        <b/>
        <sz val="12"/>
        <color rgb="FFB30101"/>
        <rFont val="宋体"/>
        <family val="3"/>
        <charset val="134"/>
      </rPr>
      <t>舌苔厚腻微黄</t>
    </r>
    <r>
      <rPr>
        <sz val="12"/>
        <color rgb="FF000000"/>
        <rFont val="宋体"/>
        <family val="3"/>
        <charset val="134"/>
      </rPr>
      <t>，脉象濡数或濡缓。</t>
    </r>
    <phoneticPr fontId="1" type="noConversion"/>
  </si>
  <si>
    <r>
      <t>身目发黄，黄色鲜明，上腹右胁胀闷疼痛，牵引肩背</t>
    </r>
    <r>
      <rPr>
        <sz val="12"/>
        <color rgb="FF000000"/>
        <rFont val="宋体"/>
        <family val="3"/>
        <charset val="134"/>
      </rPr>
      <t>，身热不退，或寒热往来，口苦咽干，呕吐呃逆，尿黄赤，大便秘，</t>
    </r>
    <r>
      <rPr>
        <b/>
        <sz val="12"/>
        <color rgb="FFB30101"/>
        <rFont val="宋体"/>
        <family val="3"/>
        <charset val="134"/>
      </rPr>
      <t>苔黄舌红</t>
    </r>
    <r>
      <rPr>
        <sz val="12"/>
        <color rgb="FF000000"/>
        <rFont val="宋体"/>
        <family val="3"/>
        <charset val="134"/>
      </rPr>
      <t>，脉弦滑数。</t>
    </r>
    <phoneticPr fontId="1" type="noConversion"/>
  </si>
  <si>
    <r>
      <t>腹胀按之不坚，胁下胀满或疼痛，饮食减少，食后胀甚，得嗳气、矢气稍减</t>
    </r>
    <r>
      <rPr>
        <sz val="12"/>
        <color rgb="FF000000"/>
        <rFont val="宋体"/>
        <family val="3"/>
        <charset val="134"/>
      </rPr>
      <t>，小便短少，舌苔薄白腻，脉弦。</t>
    </r>
    <phoneticPr fontId="1" type="noConversion"/>
  </si>
  <si>
    <r>
      <t>脘腹坚满，青筋显露，胁下癥结痛如针刺，面色晦暗黧黑，</t>
    </r>
    <r>
      <rPr>
        <sz val="12"/>
        <color rgb="FF000000"/>
        <rFont val="宋体"/>
        <family val="3"/>
        <charset val="134"/>
      </rPr>
      <t>或见赤丝血缕，面颈胸臂出现血痣或蟹爪纹，口干不欲饮水，或见大便色黑，</t>
    </r>
    <r>
      <rPr>
        <b/>
        <sz val="12"/>
        <color rgb="FFB30101"/>
        <rFont val="宋体"/>
        <family val="3"/>
        <charset val="134"/>
      </rPr>
      <t>舌质紫黯，或有紫斑，脉细涩。</t>
    </r>
    <phoneticPr fontId="1" type="noConversion"/>
  </si>
  <si>
    <r>
      <t>腹大胀满，按之如囊裹水，甚则颜面微浮，下肢浮肿，脘腹痞胀，得热则舒，</t>
    </r>
    <r>
      <rPr>
        <sz val="12"/>
        <color rgb="FF000000"/>
        <rFont val="宋体"/>
        <family val="3"/>
        <charset val="134"/>
      </rPr>
      <t>精神困倦，</t>
    </r>
    <r>
      <rPr>
        <b/>
        <sz val="12"/>
        <color rgb="FFB30101"/>
        <rFont val="宋体"/>
        <family val="3"/>
        <charset val="134"/>
      </rPr>
      <t>怯寒懒动</t>
    </r>
    <r>
      <rPr>
        <sz val="12"/>
        <color rgb="FF000000"/>
        <rFont val="宋体"/>
        <family val="3"/>
        <charset val="134"/>
      </rPr>
      <t>，小便少，大便溏，</t>
    </r>
    <r>
      <rPr>
        <b/>
        <sz val="12"/>
        <color rgb="FFB30101"/>
        <rFont val="宋体"/>
        <family val="3"/>
        <charset val="134"/>
      </rPr>
      <t>舌苔白腻</t>
    </r>
    <r>
      <rPr>
        <sz val="12"/>
        <color rgb="FF000000"/>
        <rFont val="宋体"/>
        <family val="3"/>
        <charset val="134"/>
      </rPr>
      <t>，脉缓。</t>
    </r>
    <phoneticPr fontId="1" type="noConversion"/>
  </si>
  <si>
    <r>
      <t>腹大胀满，形似蛙腹，朝宽暮急，面色苍黄，或呈白，脘闷纳呆，神倦怯寒，肢冷浮肿</t>
    </r>
    <r>
      <rPr>
        <sz val="12"/>
        <color rgb="FF000000"/>
        <rFont val="宋体"/>
        <family val="3"/>
        <charset val="134"/>
      </rPr>
      <t>，小便短少不利，</t>
    </r>
    <r>
      <rPr>
        <b/>
        <sz val="12"/>
        <color rgb="FFB30101"/>
        <rFont val="宋体"/>
        <family val="3"/>
        <charset val="134"/>
      </rPr>
      <t>舌体胖、质紫、苔淡白，脉沉细无力。</t>
    </r>
    <phoneticPr fontId="1" type="noConversion"/>
  </si>
  <si>
    <r>
      <t>头痛时作，痛连项背，恶风畏寒，遇风尤剧，口不渴，苔薄白，脉浮紧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</si>
  <si>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头痛而胀，甚则头胀如裂，发热或恶风，面红目赤，口渴喜饮，大便不畅，或便秘，溲赤，舌尖红，苔薄黄，脉浮数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</si>
  <si>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头痛如裹</t>
    </r>
    <r>
      <rPr>
        <sz val="12"/>
        <color rgb="FF000000"/>
        <rFont val="宋体"/>
        <family val="3"/>
        <charset val="134"/>
      </rPr>
      <t>，肢体困重，胸闷纳呆，大便溏薄，苔白腻，脉濡。</t>
    </r>
    <phoneticPr fontId="1" type="noConversion"/>
  </si>
  <si>
    <r>
      <t>头昏胀痛，两侧为重，心烦易怒</t>
    </r>
    <r>
      <rPr>
        <sz val="12"/>
        <color rgb="FF000000"/>
        <rFont val="宋体"/>
        <family val="3"/>
        <charset val="134"/>
      </rPr>
      <t>，夜寐不宁，口苦而红，或兼胁痛，</t>
    </r>
    <r>
      <rPr>
        <b/>
        <sz val="12"/>
        <color rgb="FFB30101"/>
        <rFont val="宋体"/>
        <family val="3"/>
        <charset val="134"/>
      </rPr>
      <t>舌红苔黄，脉弦数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</si>
  <si>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头痛昏蒙</t>
    </r>
    <r>
      <rPr>
        <sz val="12"/>
        <color rgb="FF000000"/>
        <rFont val="宋体"/>
        <family val="3"/>
        <charset val="134"/>
      </rPr>
      <t>，胸脘满闷，纳呆呕恶，舌苔白腻，脉滑或弦滑。</t>
    </r>
    <phoneticPr fontId="1" type="noConversion"/>
  </si>
  <si>
    <r>
      <t>头痛经久不愈，痛处固定不移，痛如锥刺</t>
    </r>
    <r>
      <rPr>
        <sz val="12"/>
        <color rgb="FF000000"/>
        <rFont val="宋体"/>
        <family val="3"/>
        <charset val="134"/>
      </rPr>
      <t>，或有头部外伤史，舌紫暗，或有</t>
    </r>
    <r>
      <rPr>
        <b/>
        <sz val="12"/>
        <color rgb="FFB30101"/>
        <rFont val="宋体"/>
        <family val="3"/>
        <charset val="134"/>
      </rPr>
      <t>瘀斑、瘀点</t>
    </r>
    <r>
      <rPr>
        <sz val="12"/>
        <color rgb="FF000000"/>
        <rFont val="宋体"/>
        <family val="3"/>
        <charset val="134"/>
      </rPr>
      <t>，苔薄白，脉细或细涩。</t>
    </r>
    <phoneticPr fontId="1" type="noConversion"/>
  </si>
  <si>
    <r>
      <t>头痛而晕，心悸失眠，面色少华，神疲乏力</t>
    </r>
    <r>
      <rPr>
        <sz val="12"/>
        <color rgb="FF000000"/>
        <rFont val="宋体"/>
        <family val="3"/>
        <charset val="134"/>
      </rPr>
      <t>，遇劳加重，</t>
    </r>
    <r>
      <rPr>
        <b/>
        <sz val="12"/>
        <color rgb="FFB30101"/>
        <rFont val="宋体"/>
        <family val="3"/>
        <charset val="134"/>
      </rPr>
      <t>舌质淡，苔薄白，脉细弱。</t>
    </r>
    <phoneticPr fontId="1" type="noConversion"/>
  </si>
  <si>
    <r>
      <t>头痛且空，眩晕耳鸣，腰膝酸软</t>
    </r>
    <r>
      <rPr>
        <sz val="12"/>
        <color rgb="FF000000"/>
        <rFont val="宋体"/>
        <family val="3"/>
        <charset val="134"/>
      </rPr>
      <t>，神疲乏力，滑精带下，舌红少苔，脉细无力。</t>
    </r>
    <phoneticPr fontId="1" type="noConversion"/>
  </si>
  <si>
    <r>
      <t>眩晕，耳鸣，头目胀痛，口苦，失眠多梦，遇烦劳、郁怒而加重</t>
    </r>
    <r>
      <rPr>
        <sz val="12"/>
        <color rgb="FF000000"/>
        <rFont val="宋体"/>
        <family val="3"/>
        <charset val="134"/>
      </rPr>
      <t>，甚则仆倒，颜面潮红，</t>
    </r>
    <r>
      <rPr>
        <b/>
        <sz val="12"/>
        <color rgb="FFB30101"/>
        <rFont val="宋体"/>
        <family val="3"/>
        <charset val="134"/>
      </rPr>
      <t>急躁易怒</t>
    </r>
    <r>
      <rPr>
        <sz val="12"/>
        <color rgb="FF000000"/>
        <rFont val="宋体"/>
        <family val="3"/>
        <charset val="134"/>
      </rPr>
      <t>，肢麻震颤，</t>
    </r>
    <r>
      <rPr>
        <b/>
        <sz val="12"/>
        <color rgb="FFB30101"/>
        <rFont val="宋体"/>
        <family val="3"/>
        <charset val="134"/>
      </rPr>
      <t>舌红苔黄，脉弦或数。</t>
    </r>
    <phoneticPr fontId="1" type="noConversion"/>
  </si>
  <si>
    <r>
      <t>眩晕，头重昏蒙</t>
    </r>
    <r>
      <rPr>
        <sz val="12"/>
        <color rgb="FF000000"/>
        <rFont val="宋体"/>
        <family val="3"/>
        <charset val="134"/>
      </rPr>
      <t>，或伴视物旋转，胸闷恶心，呕吐痰涎，食少多寐，</t>
    </r>
    <r>
      <rPr>
        <b/>
        <sz val="12"/>
        <color rgb="FFB30101"/>
        <rFont val="宋体"/>
        <family val="3"/>
        <charset val="134"/>
      </rPr>
      <t>舌苔白腻，脉濡滑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</si>
  <si>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眩晕动则加剧，劳累即发</t>
    </r>
    <r>
      <rPr>
        <sz val="12"/>
        <color rgb="FF000000"/>
        <rFont val="宋体"/>
        <family val="3"/>
        <charset val="134"/>
      </rPr>
      <t>，面白，</t>
    </r>
    <r>
      <rPr>
        <b/>
        <sz val="12"/>
        <color rgb="FFB30101"/>
        <rFont val="宋体"/>
        <family val="3"/>
        <charset val="134"/>
      </rPr>
      <t>神疲乏力，倦怠懒言，唇甲不华，发色不泽</t>
    </r>
    <r>
      <rPr>
        <sz val="12"/>
        <color rgb="FF000000"/>
        <rFont val="宋体"/>
        <family val="3"/>
        <charset val="134"/>
      </rPr>
      <t>，心悸少寐，纳少腹胀，舌淡苔薄白，脉细弱。</t>
    </r>
    <phoneticPr fontId="1" type="noConversion"/>
  </si>
  <si>
    <r>
      <t>眩晕日久不愈，精神萎靡，腰酸膝软</t>
    </r>
    <r>
      <rPr>
        <sz val="12"/>
        <color rgb="FF000000"/>
        <rFont val="宋体"/>
        <family val="3"/>
        <charset val="134"/>
      </rPr>
      <t>，少寐多梦，健忘，两目干涩，视力减退。或</t>
    </r>
    <r>
      <rPr>
        <b/>
        <sz val="12"/>
        <color rgb="FFB30101"/>
        <rFont val="宋体"/>
        <family val="3"/>
        <charset val="134"/>
      </rPr>
      <t>遗精，滑泄，耳鸣，齿摇</t>
    </r>
    <r>
      <rPr>
        <sz val="12"/>
        <color rgb="FF000000"/>
        <rFont val="宋体"/>
        <family val="3"/>
        <charset val="134"/>
      </rPr>
      <t>；或颧红咽干，五心烦热，舌红少苔，脉细数；或面色白，形寒肢冷，舌淡嫩，苔白，脉弱尺甚。</t>
    </r>
    <phoneticPr fontId="1" type="noConversion"/>
  </si>
  <si>
    <r>
      <t>平素头晕头痛，耳鸣目眩，突然发生口眼斜，舌强语謇，或手足重滞，甚则半身不遂</t>
    </r>
    <r>
      <rPr>
        <sz val="12"/>
        <color rgb="FF000000"/>
        <rFont val="宋体"/>
        <family val="3"/>
        <charset val="134"/>
      </rPr>
      <t>等症。</t>
    </r>
    <r>
      <rPr>
        <b/>
        <sz val="12"/>
        <color rgb="FFB30101"/>
        <rFont val="宋体"/>
        <family val="3"/>
        <charset val="134"/>
      </rPr>
      <t>舌质红苔黄，脉弦。</t>
    </r>
    <phoneticPr fontId="1" type="noConversion"/>
  </si>
  <si>
    <r>
      <t>平素头晕耳鸣，腰疼，突然发生口眼歪斜，言语不利，</t>
    </r>
    <r>
      <rPr>
        <b/>
        <sz val="12"/>
        <color rgb="FFFF0000"/>
        <rFont val="宋体"/>
        <family val="3"/>
        <charset val="134"/>
      </rPr>
      <t>手指</t>
    </r>
    <r>
      <rPr>
        <sz val="12"/>
        <color rgb="FFFF0000"/>
        <rFont val="宋体"/>
        <family val="3"/>
        <charset val="134"/>
      </rPr>
      <t>瞤</t>
    </r>
    <r>
      <rPr>
        <b/>
        <sz val="12"/>
        <color rgb="FFFF0000"/>
        <rFont val="宋体"/>
        <family val="3"/>
        <charset val="134"/>
      </rPr>
      <t>动，</t>
    </r>
    <r>
      <rPr>
        <b/>
        <sz val="12"/>
        <color rgb="FFB30101"/>
        <rFont val="宋体"/>
        <family val="3"/>
        <charset val="134"/>
      </rPr>
      <t>甚或半身不遂，舌质红苔腻，脉弦细数。</t>
    </r>
    <phoneticPr fontId="1" type="noConversion"/>
  </si>
  <si>
    <r>
      <t>面赤身热</t>
    </r>
    <r>
      <rPr>
        <sz val="12"/>
        <color rgb="FF000000"/>
        <rFont val="宋体"/>
        <family val="3"/>
        <charset val="134"/>
      </rPr>
      <t>，气粗口臭，躁扰不宁，</t>
    </r>
    <r>
      <rPr>
        <b/>
        <sz val="12"/>
        <color rgb="FFB30101"/>
        <rFont val="宋体"/>
        <family val="3"/>
        <charset val="134"/>
      </rPr>
      <t>苔黄腻，脉弦滑数。</t>
    </r>
    <phoneticPr fontId="1" type="noConversion"/>
  </si>
  <si>
    <r>
      <t>面白唇暗，静卧不烦，四肢不温</t>
    </r>
    <r>
      <rPr>
        <sz val="12"/>
        <color rgb="FF000000"/>
        <rFont val="宋体"/>
        <family val="3"/>
        <charset val="134"/>
      </rPr>
      <t>，痰涎壅盛，</t>
    </r>
    <r>
      <rPr>
        <b/>
        <sz val="12"/>
        <color rgb="FFB30101"/>
        <rFont val="宋体"/>
        <family val="3"/>
        <charset val="134"/>
      </rPr>
      <t>苔白腻，脉沉滑缓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</si>
  <si>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突然昏仆，不省人事，目合口张，鼻鼾息微，手撒肢冷，</t>
    </r>
    <r>
      <rPr>
        <sz val="12"/>
        <color rgb="FF000000"/>
        <rFont val="宋体"/>
        <family val="3"/>
        <charset val="134"/>
      </rPr>
      <t>汗多，大小便自遗，肢体软瘫，舌痿，脉细弱或</t>
    </r>
    <r>
      <rPr>
        <b/>
        <sz val="12"/>
        <color rgb="FFB30101"/>
        <rFont val="宋体"/>
        <family val="3"/>
        <charset val="134"/>
      </rPr>
      <t>脉微欲绝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</si>
  <si>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肢体偏枯不用，肢软无力，面色萎黄，舌质淡紫或有瘀斑，</t>
    </r>
    <r>
      <rPr>
        <sz val="12"/>
        <color rgb="FF000000"/>
        <rFont val="宋体"/>
        <family val="3"/>
        <charset val="134"/>
      </rPr>
      <t>苔薄白，脉细涩或细弱。</t>
    </r>
    <phoneticPr fontId="1" type="noConversion"/>
  </si>
  <si>
    <r>
      <t>眼睑浮肿，继则四肢及全身皆肿，来势迅速，多有恶寒发热，肢节酸楚，小便不利等症</t>
    </r>
    <r>
      <rPr>
        <sz val="12"/>
        <color rgb="FF000000"/>
        <rFont val="宋体"/>
        <family val="3"/>
        <charset val="134"/>
      </rPr>
      <t>。偏于风热者，伴咽喉红肿疼痛，舌质红，脉浮滑数。偏于风寒者，兼恶寒、咳喘，舌苔薄白，脉浮滑或浮紧，如水肿较甚，亦可见沉脉。</t>
    </r>
    <phoneticPr fontId="1" type="noConversion"/>
  </si>
  <si>
    <r>
      <t>全身水肿，下肢明显，按之没指，小便短少，身体困重</t>
    </r>
    <r>
      <rPr>
        <sz val="12"/>
        <color rgb="FF000000"/>
        <rFont val="宋体"/>
        <family val="3"/>
        <charset val="134"/>
      </rPr>
      <t>，胸闷，纳呆，泛恶。</t>
    </r>
    <r>
      <rPr>
        <b/>
        <sz val="12"/>
        <color rgb="FFB30101"/>
        <rFont val="宋体"/>
        <family val="3"/>
        <charset val="134"/>
      </rPr>
      <t>苔白腻，脉沉缓</t>
    </r>
    <r>
      <rPr>
        <sz val="12"/>
        <color rgb="FF000000"/>
        <rFont val="宋体"/>
        <family val="3"/>
        <charset val="134"/>
      </rPr>
      <t>，起病缓慢，病程较长。</t>
    </r>
    <phoneticPr fontId="1" type="noConversion"/>
  </si>
  <si>
    <r>
      <t>眼睑浮肿，延及全身，皮肤光亮，尿少色赤，身发疮痍，甚则溃烂</t>
    </r>
    <r>
      <rPr>
        <sz val="12"/>
        <color rgb="FF000000"/>
        <rFont val="宋体"/>
        <family val="3"/>
        <charset val="134"/>
      </rPr>
      <t>，恶风发热，舌质红，苔薄黄，脉浮数或滑数。</t>
    </r>
    <phoneticPr fontId="1" type="noConversion"/>
  </si>
  <si>
    <r>
      <t>水肿反复消长不已，面浮身肿，腰以下甚，按之凹陷不起，尿量减少或反多，腰酸冷痛，四肢厥冷</t>
    </r>
    <r>
      <rPr>
        <sz val="12"/>
        <color rgb="FF000000"/>
        <rFont val="宋体"/>
        <family val="3"/>
        <charset val="134"/>
      </rPr>
      <t>，怯寒神疲，面色白，甚者心悸胸闷，喘促难卧，腹大胀满，舌质淡胖苔白，脉沉细或沉迟无力。</t>
    </r>
    <phoneticPr fontId="1" type="noConversion"/>
  </si>
  <si>
    <r>
      <t>尿中夹砂石，排尿涩痛，或排尿时突然中断，尿道窘迫疼痛，少腹拘急，往往突发一侧腰腹绞痛难忍</t>
    </r>
    <r>
      <rPr>
        <sz val="12"/>
        <color rgb="FF000000"/>
        <rFont val="宋体"/>
        <family val="3"/>
        <charset val="134"/>
      </rPr>
      <t>，甚则牵及外阴，尿中带血，舌红，苔薄黄，脉弦或带数。若病久砂石不去，可伴见面色少华，精神萎顿，少气乏力，舌淡边有齿印，脉细而弱；或腰腹隐痛，手足心热，舌红少苔，脉细带数。</t>
    </r>
    <phoneticPr fontId="1" type="noConversion"/>
  </si>
  <si>
    <r>
      <t>便混浊乳白或如米泔水</t>
    </r>
    <r>
      <rPr>
        <sz val="12"/>
        <color rgb="FF000000"/>
        <rFont val="宋体"/>
        <family val="3"/>
        <charset val="134"/>
      </rPr>
      <t>，上有浮油，置之沉淀，或伴有絮状凝块物，或混有血液、血块。</t>
    </r>
    <r>
      <rPr>
        <b/>
        <sz val="12"/>
        <color rgb="FFB30101"/>
        <rFont val="宋体"/>
        <family val="3"/>
        <charset val="134"/>
      </rPr>
      <t>尿道热涩疼痛</t>
    </r>
    <r>
      <rPr>
        <sz val="12"/>
        <color rgb="FF000000"/>
        <rFont val="宋体"/>
        <family val="3"/>
        <charset val="134"/>
      </rPr>
      <t>，尿时阻塞不畅。口干，苔黄腻，舌质红，脉濡数。</t>
    </r>
    <phoneticPr fontId="1" type="noConversion"/>
  </si>
  <si>
    <r>
      <t>郁怒之后</t>
    </r>
    <r>
      <rPr>
        <sz val="12"/>
        <color rgb="FF000000"/>
        <rFont val="宋体"/>
        <family val="3"/>
        <charset val="134"/>
      </rPr>
      <t>，小便涩滞，淋沥不宣，少腹胀满疼痛，苔薄白，</t>
    </r>
    <r>
      <rPr>
        <b/>
        <sz val="12"/>
        <color rgb="FFB30101"/>
        <rFont val="宋体"/>
        <family val="3"/>
        <charset val="134"/>
      </rPr>
      <t>脉弦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</si>
  <si>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小便热涩刺痛，尿色深红，或夹有血块</t>
    </r>
    <r>
      <rPr>
        <sz val="12"/>
        <color rgb="FF000000"/>
        <rFont val="宋体"/>
        <family val="3"/>
        <charset val="134"/>
      </rPr>
      <t>，疼痛满急加剧，或见心烦，舌尖红，苔黄，脉滑数。</t>
    </r>
    <phoneticPr fontId="1" type="noConversion"/>
  </si>
  <si>
    <r>
      <t>小便频数短涩，灼热刺痛，溺色黄赤</t>
    </r>
    <r>
      <rPr>
        <sz val="12"/>
        <color rgb="FF000000"/>
        <rFont val="宋体"/>
        <family val="3"/>
        <charset val="134"/>
      </rPr>
      <t>，少腹拘急胀痛，或有寒热、口苦、呕恶，或有腰痛拒按，或有大便秘结，</t>
    </r>
    <r>
      <rPr>
        <b/>
        <sz val="12"/>
        <color rgb="FFB30101"/>
        <rFont val="宋体"/>
        <family val="3"/>
        <charset val="134"/>
      </rPr>
      <t>苔黄腻，脉滑数。</t>
    </r>
    <phoneticPr fontId="1" type="noConversion"/>
  </si>
  <si>
    <r>
      <t>小便不甚赤涩，溺痛不甚，但淋沥不已，时作时止，遇劳即发，腰膝酸软</t>
    </r>
    <r>
      <rPr>
        <sz val="12"/>
        <color rgb="FF000000"/>
        <rFont val="宋体"/>
        <family val="3"/>
        <charset val="134"/>
      </rPr>
      <t>，神疲乏力，病程缠绵，舌质淡，脉细弱。</t>
    </r>
    <phoneticPr fontId="1" type="noConversion"/>
  </si>
  <si>
    <r>
      <t>精神抑郁，情绪不宁，胸部满闷，胁肋胀痛，痛无定处，脘闷嗳气</t>
    </r>
    <r>
      <rPr>
        <sz val="12"/>
        <color rgb="FF000000"/>
        <rFont val="宋体"/>
        <family val="3"/>
        <charset val="134"/>
      </rPr>
      <t>，不思饮食，大便不调，苔薄腻，脉弦。</t>
    </r>
    <phoneticPr fontId="1" type="noConversion"/>
  </si>
  <si>
    <r>
      <t>精神抑郁，胸部闷塞，胁肋胀满，咽中如有物梗塞，吞之不下，咯之不出</t>
    </r>
    <r>
      <rPr>
        <sz val="12"/>
        <color rgb="FF000000"/>
        <rFont val="宋体"/>
        <family val="3"/>
        <charset val="134"/>
      </rPr>
      <t>，苔白腻，脉弦滑。</t>
    </r>
    <phoneticPr fontId="1" type="noConversion"/>
  </si>
  <si>
    <r>
      <t>精神恍惚，心神不宁，多疑易惊，悲忧善哭，喜怒无常，</t>
    </r>
    <r>
      <rPr>
        <sz val="12"/>
        <color rgb="FF000000"/>
        <rFont val="宋体"/>
        <family val="3"/>
        <charset val="134"/>
      </rPr>
      <t>或时时欠伸，或</t>
    </r>
    <r>
      <rPr>
        <b/>
        <sz val="12"/>
        <color rgb="FFB30101"/>
        <rFont val="宋体"/>
        <family val="3"/>
        <charset val="134"/>
      </rPr>
      <t>手舞足蹈，骂詈喊叫</t>
    </r>
    <r>
      <rPr>
        <sz val="12"/>
        <color rgb="FF000000"/>
        <rFont val="宋体"/>
        <family val="3"/>
        <charset val="134"/>
      </rPr>
      <t>等，舌质淡，脉弦。</t>
    </r>
    <phoneticPr fontId="1" type="noConversion"/>
  </si>
  <si>
    <r>
      <t>多思善疑，头晕神疲，心悸胆怯，失眠，健忘，纳差，面色不华</t>
    </r>
    <r>
      <rPr>
        <sz val="12"/>
        <color rgb="FF000000"/>
        <rFont val="宋体"/>
        <family val="3"/>
        <charset val="134"/>
      </rPr>
      <t>，舌质淡，苔薄白，脉细。</t>
    </r>
    <phoneticPr fontId="1" type="noConversion"/>
  </si>
  <si>
    <r>
      <t>烦渴多饮，口干舌燥</t>
    </r>
    <r>
      <rPr>
        <sz val="12"/>
        <color rgb="FF000000"/>
        <rFont val="宋体"/>
        <family val="3"/>
        <charset val="134"/>
      </rPr>
      <t>，尿频量多，舌边尖红，苔薄黄，</t>
    </r>
    <r>
      <rPr>
        <b/>
        <sz val="12"/>
        <color rgb="FFB30101"/>
        <rFont val="宋体"/>
        <family val="3"/>
        <charset val="134"/>
      </rPr>
      <t>脉洪数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</si>
  <si>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多食易饥</t>
    </r>
    <r>
      <rPr>
        <sz val="12"/>
        <color rgb="FF000000"/>
        <rFont val="宋体"/>
        <family val="3"/>
        <charset val="134"/>
      </rPr>
      <t>，口渴，尿多，形体消瘦，大便干燥，苔黄，</t>
    </r>
    <r>
      <rPr>
        <b/>
        <sz val="12"/>
        <color rgb="FFB30101"/>
        <rFont val="宋体"/>
        <family val="3"/>
        <charset val="134"/>
      </rPr>
      <t>脉滑实有力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</si>
  <si>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尿频量多，混浊如脂膏</t>
    </r>
    <r>
      <rPr>
        <sz val="12"/>
        <color rgb="FF000000"/>
        <rFont val="宋体"/>
        <family val="3"/>
        <charset val="134"/>
      </rPr>
      <t>，或尿甜，腰膝酸软，乏力，头晕耳鸣，口干唇燥，皮肤干燥，瘙痒，</t>
    </r>
    <r>
      <rPr>
        <b/>
        <sz val="12"/>
        <color rgb="FFB30101"/>
        <rFont val="宋体"/>
        <family val="3"/>
        <charset val="134"/>
      </rPr>
      <t>舌红苔少，脉细数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</si>
  <si>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小便频数，混浊如膏，甚至饮一溲一，</t>
    </r>
    <r>
      <rPr>
        <sz val="12"/>
        <color rgb="FF000000"/>
        <rFont val="宋体"/>
        <family val="3"/>
        <charset val="134"/>
      </rPr>
      <t>面容憔悴，耳轮干枯，腰膝酸软，</t>
    </r>
    <r>
      <rPr>
        <b/>
        <sz val="12"/>
        <color rgb="FFB30101"/>
        <rFont val="宋体"/>
        <family val="3"/>
        <charset val="134"/>
      </rPr>
      <t>四肢欠温，畏寒肢冷</t>
    </r>
    <r>
      <rPr>
        <sz val="12"/>
        <color rgb="FF000000"/>
        <rFont val="宋体"/>
        <family val="3"/>
        <charset val="134"/>
      </rPr>
      <t>，阳痿或月经不调，舌苔淡白而干，</t>
    </r>
    <r>
      <rPr>
        <b/>
        <sz val="12"/>
        <color rgb="FFB30101"/>
        <rFont val="宋体"/>
        <family val="3"/>
        <charset val="134"/>
      </rPr>
      <t>脉沉细无力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</si>
  <si>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肢体关节、肌肉疼痛酸楚，屈伸不利</t>
    </r>
    <r>
      <rPr>
        <sz val="12"/>
        <color rgb="FF000000"/>
        <rFont val="宋体"/>
        <family val="3"/>
        <charset val="134"/>
      </rPr>
      <t>，可涉及肢体多个关节，</t>
    </r>
    <r>
      <rPr>
        <b/>
        <sz val="12"/>
        <color rgb="FFB30101"/>
        <rFont val="宋体"/>
        <family val="3"/>
        <charset val="134"/>
      </rPr>
      <t>疼痛呈游走性</t>
    </r>
    <r>
      <rPr>
        <sz val="12"/>
        <color rgb="FF000000"/>
        <rFont val="宋体"/>
        <family val="3"/>
        <charset val="134"/>
      </rPr>
      <t>，初起可见恶风、发热等表证。舌苔薄白，脉浮或浮缓。</t>
    </r>
    <phoneticPr fontId="1" type="noConversion"/>
  </si>
  <si>
    <r>
      <t>肢体关节疼痛，痛势较剧，部位固定，遇寒则痛甚，得热则痛缓</t>
    </r>
    <r>
      <rPr>
        <sz val="12"/>
        <color rgb="FF000000"/>
        <rFont val="宋体"/>
        <family val="3"/>
        <charset val="134"/>
      </rPr>
      <t>，关节屈伸不利。局部皮肤或有寒冷感。舌质淡，舌苔薄白，脉弦紧。</t>
    </r>
    <phoneticPr fontId="1" type="noConversion"/>
  </si>
  <si>
    <r>
      <t>肢体关节肌肉酸楚、重着、疼痛，肿胀散漫</t>
    </r>
    <r>
      <rPr>
        <sz val="12"/>
        <color rgb="FF000000"/>
        <rFont val="宋体"/>
        <family val="3"/>
        <charset val="134"/>
      </rPr>
      <t>，关节活动不利，肌肤麻木不仁。舌质淡，舌苔白腻，脉濡缓。</t>
    </r>
    <phoneticPr fontId="1" type="noConversion"/>
  </si>
  <si>
    <r>
      <t>游走性关节疼痛</t>
    </r>
    <r>
      <rPr>
        <sz val="12"/>
        <color rgb="FF000000"/>
        <rFont val="宋体"/>
        <family val="3"/>
        <charset val="134"/>
      </rPr>
      <t>，可涉及一个或多个关节，活动不便，</t>
    </r>
    <r>
      <rPr>
        <b/>
        <sz val="12"/>
        <color rgb="FFB30101"/>
        <rFont val="宋体"/>
        <family val="3"/>
        <charset val="134"/>
      </rPr>
      <t>局部灼热红肿，痛不可触，得冷则舒</t>
    </r>
    <r>
      <rPr>
        <sz val="12"/>
        <color rgb="FF000000"/>
        <rFont val="宋体"/>
        <family val="3"/>
        <charset val="134"/>
      </rPr>
      <t>，可有皮下结节或红斑，常伴有发热、恶风、汗出、口渴、烦躁不安等全身症状。舌质红，</t>
    </r>
    <r>
      <rPr>
        <b/>
        <sz val="12"/>
        <color rgb="FFB30101"/>
        <rFont val="宋体"/>
        <family val="3"/>
        <charset val="134"/>
      </rPr>
      <t>舌苔黄或黄腻，脉滑数或浮数。</t>
    </r>
    <phoneticPr fontId="1" type="noConversion"/>
  </si>
  <si>
    <r>
      <t>痹证日久，肌肉关节刺痛，固定不移</t>
    </r>
    <r>
      <rPr>
        <sz val="12"/>
        <color rgb="FF000000"/>
        <rFont val="宋体"/>
        <family val="3"/>
        <charset val="134"/>
      </rPr>
      <t>，或关节肌肤紫暗、肿胀，按之较硬，肢体顽麻或重着，或关节僵硬变形，屈伸不利，有硬结、瘀斑，面色黯黧，眼睑浮肿，或胸闷痰多。</t>
    </r>
    <r>
      <rPr>
        <b/>
        <sz val="12"/>
        <color rgb="FFB30101"/>
        <rFont val="宋体"/>
        <family val="3"/>
        <charset val="134"/>
      </rPr>
      <t>舌质紫暗或有瘀斑，舌苔白腻，脉弦涩</t>
    </r>
    <r>
      <rPr>
        <sz val="12"/>
        <color rgb="FF000000"/>
        <rFont val="宋体"/>
        <family val="3"/>
        <charset val="134"/>
      </rPr>
      <t>。</t>
    </r>
    <phoneticPr fontId="1" type="noConversion"/>
  </si>
  <si>
    <r>
      <t>痹证日久不愈，关节屈伸不利，肌肉瘦削，腰膝酸软</t>
    </r>
    <r>
      <rPr>
        <sz val="12"/>
        <color rgb="FF000000"/>
        <rFont val="宋体"/>
        <family val="3"/>
        <charset val="134"/>
      </rPr>
      <t>，或畏寒肢冷，阳痿遗精，或骨蒸劳热，心烦口干。舌质淡红，舌苔薄白或少津，脉沉细弱或细数。</t>
    </r>
    <phoneticPr fontId="1" type="noConversion"/>
  </si>
  <si>
    <t>沉细 弱 数</t>
    <phoneticPr fontId="1" type="noConversion"/>
  </si>
  <si>
    <t>弦涩</t>
  </si>
  <si>
    <t>滑 浮 数</t>
    <phoneticPr fontId="1" type="noConversion"/>
  </si>
  <si>
    <t>濡缓</t>
  </si>
  <si>
    <t>弦紧</t>
  </si>
  <si>
    <t>浮 缓</t>
    <phoneticPr fontId="1" type="noConversion"/>
  </si>
  <si>
    <t>沉细无力</t>
  </si>
  <si>
    <t>肾阴虚</t>
    <phoneticPr fontId="1" type="noConversion"/>
  </si>
  <si>
    <t>-</t>
    <phoneticPr fontId="1" type="noConversion"/>
  </si>
  <si>
    <t>滑实有力</t>
  </si>
  <si>
    <t>洪数</t>
  </si>
  <si>
    <t>沉弱</t>
  </si>
  <si>
    <t>数</t>
  </si>
  <si>
    <t>细</t>
  </si>
  <si>
    <t>细</t>
    <phoneticPr fontId="1" type="noConversion"/>
  </si>
  <si>
    <t>红绛</t>
  </si>
  <si>
    <t>弦数</t>
  </si>
  <si>
    <t>滑数</t>
  </si>
  <si>
    <t>淡</t>
  </si>
  <si>
    <t>红</t>
  </si>
  <si>
    <t>细无力</t>
  </si>
  <si>
    <t>弦</t>
    <phoneticPr fontId="1" type="noConversion"/>
  </si>
  <si>
    <t>弦滑</t>
  </si>
  <si>
    <t>脉弦</t>
  </si>
  <si>
    <t>沉细
沉迟无力</t>
    <phoneticPr fontId="1" type="noConversion"/>
  </si>
  <si>
    <t>沉 缓 弱</t>
    <phoneticPr fontId="1" type="noConversion"/>
  </si>
  <si>
    <t>沉 濡 数</t>
    <phoneticPr fontId="1" type="noConversion"/>
  </si>
  <si>
    <t>浮 滑 数</t>
    <phoneticPr fontId="1" type="noConversion"/>
  </si>
  <si>
    <t>沉缓</t>
  </si>
  <si>
    <t>浮 滑 紧 沉</t>
    <phoneticPr fontId="1" type="noConversion"/>
  </si>
  <si>
    <t>虚细缓 结代</t>
    <phoneticPr fontId="1" type="noConversion"/>
  </si>
  <si>
    <t>沉细迟</t>
  </si>
  <si>
    <t>细弦</t>
  </si>
  <si>
    <t>滑</t>
  </si>
  <si>
    <t>沉紧 细</t>
    <phoneticPr fontId="1" type="noConversion"/>
  </si>
  <si>
    <t>弦数</t>
    <phoneticPr fontId="1" type="noConversion"/>
  </si>
  <si>
    <t>弦细</t>
  </si>
  <si>
    <t>弦大滑数</t>
  </si>
  <si>
    <t>弦 细 涩</t>
    <phoneticPr fontId="1" type="noConversion"/>
  </si>
  <si>
    <t>弦滑有力</t>
  </si>
  <si>
    <t>弦滑数</t>
    <phoneticPr fontId="1" type="noConversion"/>
  </si>
  <si>
    <t>涩 弦</t>
    <phoneticPr fontId="1" type="noConversion"/>
  </si>
  <si>
    <t>沉细弱</t>
    <phoneticPr fontId="1" type="noConversion"/>
  </si>
  <si>
    <t>沉细数</t>
    <phoneticPr fontId="1" type="noConversion"/>
  </si>
  <si>
    <t>-</t>
  </si>
  <si>
    <t>弱 迟缓</t>
    <phoneticPr fontId="1" type="noConversion"/>
  </si>
  <si>
    <t>涩</t>
  </si>
  <si>
    <t>紫黯 瘀斑</t>
  </si>
  <si>
    <t>滑实</t>
  </si>
  <si>
    <t>虚弦</t>
  </si>
  <si>
    <t>濡弱</t>
  </si>
  <si>
    <t>沉紧</t>
  </si>
  <si>
    <t>紫黯</t>
  </si>
  <si>
    <t>细涩</t>
  </si>
  <si>
    <t>浮</t>
  </si>
  <si>
    <t>滑 濡 数</t>
    <phoneticPr fontId="1" type="noConversion"/>
  </si>
  <si>
    <t>沉细弱</t>
  </si>
  <si>
    <t xml:space="preserve">淡 </t>
  </si>
  <si>
    <t xml:space="preserve"> </t>
  </si>
  <si>
    <t>滑数
微欲绝</t>
    <phoneticPr fontId="1" type="noConversion"/>
  </si>
  <si>
    <t>濡软 虚数</t>
    <phoneticPr fontId="1" type="noConversion"/>
  </si>
  <si>
    <t>弱</t>
  </si>
  <si>
    <t>沉迟</t>
  </si>
  <si>
    <t>沉涩</t>
  </si>
  <si>
    <t>紫暗</t>
  </si>
  <si>
    <t xml:space="preserve">红 </t>
  </si>
  <si>
    <t>弦滑数</t>
  </si>
  <si>
    <t>弦滑 数</t>
    <phoneticPr fontId="1" type="noConversion"/>
  </si>
  <si>
    <t>濡缓 沉迟</t>
    <phoneticPr fontId="1" type="noConversion"/>
  </si>
  <si>
    <t>濡数 缓</t>
    <phoneticPr fontId="1" type="noConversion"/>
  </si>
  <si>
    <t>细弦数</t>
    <phoneticPr fontId="1" type="noConversion"/>
  </si>
  <si>
    <t>紫黯 紫斑</t>
  </si>
  <si>
    <t>缓</t>
  </si>
  <si>
    <t>黄腻 兼灰黑</t>
  </si>
  <si>
    <t>弦细数</t>
  </si>
  <si>
    <t>浮紧</t>
  </si>
  <si>
    <t>濡</t>
  </si>
  <si>
    <t>滑 弦</t>
    <phoneticPr fontId="1" type="noConversion"/>
  </si>
  <si>
    <t>细 涩</t>
    <phoneticPr fontId="1" type="noConversion"/>
  </si>
  <si>
    <t>弦 数</t>
    <phoneticPr fontId="1" type="noConversion"/>
  </si>
  <si>
    <t>濡滑</t>
  </si>
  <si>
    <t>细数
或弱尺</t>
    <phoneticPr fontId="1" type="noConversion"/>
  </si>
  <si>
    <t>弦涩 小滑</t>
    <phoneticPr fontId="1" type="noConversion"/>
  </si>
  <si>
    <t>弦 细数</t>
    <phoneticPr fontId="1" type="noConversion"/>
  </si>
  <si>
    <t>沉滑缓</t>
  </si>
  <si>
    <t>细弱 微欲绝</t>
    <phoneticPr fontId="1" type="noConversion"/>
  </si>
  <si>
    <t>舌痿</t>
  </si>
  <si>
    <t>细涩 弱</t>
    <phoneticPr fontId="1" type="noConversion"/>
  </si>
  <si>
    <t>苔</t>
    <phoneticPr fontId="1" type="noConversion"/>
  </si>
  <si>
    <t>薄白 润</t>
  </si>
  <si>
    <t>薄黄 腻</t>
  </si>
  <si>
    <t>白</t>
  </si>
  <si>
    <t>白 腻</t>
  </si>
  <si>
    <t>薄 腻</t>
  </si>
  <si>
    <t>浊腻 白滑</t>
  </si>
  <si>
    <t>黄</t>
  </si>
  <si>
    <t>黄腻</t>
  </si>
  <si>
    <t>红少</t>
  </si>
  <si>
    <t>腻 白</t>
  </si>
  <si>
    <t xml:space="preserve">红绛 </t>
  </si>
  <si>
    <t>紫暗 瘀斑</t>
  </si>
  <si>
    <t>厚腻</t>
  </si>
  <si>
    <t>薄腻</t>
  </si>
  <si>
    <t>黄燥 黄腻</t>
  </si>
  <si>
    <t>垢浊 厚腻</t>
  </si>
  <si>
    <t>黄燥</t>
  </si>
  <si>
    <t>腻</t>
  </si>
  <si>
    <t xml:space="preserve"> 白腻</t>
  </si>
  <si>
    <t>红 少</t>
  </si>
  <si>
    <t>黄 燥</t>
  </si>
  <si>
    <t>厚腻微黄</t>
  </si>
  <si>
    <t>黄舌红</t>
  </si>
  <si>
    <t>薄白腻</t>
  </si>
  <si>
    <t xml:space="preserve">暗紫 </t>
  </si>
  <si>
    <t>滑腻</t>
  </si>
  <si>
    <t>淡胖</t>
  </si>
  <si>
    <t xml:space="preserve">红 少津 </t>
  </si>
  <si>
    <t>淡白而干</t>
  </si>
  <si>
    <t>弦 细带数</t>
    <phoneticPr fontId="1" type="noConversion"/>
  </si>
  <si>
    <t xml:space="preserve">薄白微黄 </t>
  </si>
  <si>
    <t>薄白 黄</t>
  </si>
  <si>
    <t>薄黄少津</t>
  </si>
  <si>
    <t xml:space="preserve">胖 </t>
  </si>
  <si>
    <t>淡白</t>
  </si>
  <si>
    <t>质淡红 或有</t>
  </si>
  <si>
    <t>剥</t>
  </si>
  <si>
    <t>薄白/黄 舌边红</t>
  </si>
  <si>
    <t>多黄腻 黄燥而垢</t>
  </si>
  <si>
    <t xml:space="preserve">紫暗 瘀斑 </t>
  </si>
  <si>
    <t xml:space="preserve"> 少 薄黄 干</t>
  </si>
  <si>
    <t xml:space="preserve">尖红 </t>
  </si>
  <si>
    <t xml:space="preserve"> 无 有剥裂</t>
  </si>
  <si>
    <t xml:space="preserve">暗红 瘀斑 </t>
  </si>
  <si>
    <t xml:space="preserve">红绛少津 </t>
  </si>
  <si>
    <t>少 光剥</t>
  </si>
  <si>
    <t xml:space="preserve">紫暗 瘀斑瘀点 </t>
  </si>
  <si>
    <t>少</t>
  </si>
  <si>
    <t xml:space="preserve">淡紫 瘀斑 </t>
  </si>
  <si>
    <t xml:space="preserve">淡  </t>
  </si>
  <si>
    <t>白腻 滑</t>
  </si>
  <si>
    <t>少 薄黄</t>
  </si>
  <si>
    <t xml:space="preserve">淡红 </t>
  </si>
  <si>
    <t>薄白 少津</t>
  </si>
  <si>
    <t xml:space="preserve"> 或 少 淡嫩 </t>
    <phoneticPr fontId="1" type="noConversion"/>
  </si>
  <si>
    <t>黄 腻</t>
    <phoneticPr fontId="1" type="noConversion"/>
  </si>
  <si>
    <t xml:space="preserve">红 干而少津 </t>
  </si>
  <si>
    <t xml:space="preserve">边尖红 </t>
  </si>
  <si>
    <t xml:space="preserve">红 边红 </t>
  </si>
  <si>
    <t>红少津</t>
  </si>
  <si>
    <t xml:space="preserve">淡胖 </t>
  </si>
  <si>
    <t xml:space="preserve">体胖 质紫 </t>
  </si>
  <si>
    <t>淡</t>
    <phoneticPr fontId="1" type="noConversion"/>
  </si>
  <si>
    <t>湿热</t>
  </si>
  <si>
    <t>虚寒</t>
  </si>
  <si>
    <t>寒湿</t>
  </si>
  <si>
    <t>疫毒</t>
  </si>
  <si>
    <t>休息</t>
  </si>
  <si>
    <t>证</t>
    <phoneticPr fontId="1" type="noConversion"/>
  </si>
  <si>
    <t>类</t>
    <phoneticPr fontId="1" type="noConversion"/>
  </si>
  <si>
    <t>病</t>
    <phoneticPr fontId="1" type="noConversion"/>
  </si>
  <si>
    <t>舌质</t>
    <phoneticPr fontId="1" type="noConversion"/>
  </si>
  <si>
    <t>气秘</t>
  </si>
  <si>
    <t>胃热</t>
    <phoneticPr fontId="1" type="noConversion"/>
  </si>
  <si>
    <t>热秘</t>
    <phoneticPr fontId="1" type="noConversion"/>
  </si>
  <si>
    <t>寒秘</t>
    <phoneticPr fontId="1" type="noConversion"/>
  </si>
  <si>
    <t>石淋</t>
    <phoneticPr fontId="1" type="noConversion"/>
  </si>
  <si>
    <t>膏淋</t>
    <phoneticPr fontId="1" type="noConversion"/>
  </si>
  <si>
    <t>气淋</t>
    <phoneticPr fontId="1" type="noConversion"/>
  </si>
  <si>
    <t>热淋</t>
    <phoneticPr fontId="1" type="noConversion"/>
  </si>
  <si>
    <t>劳淋</t>
    <phoneticPr fontId="1" type="noConversion"/>
  </si>
  <si>
    <t>瘀阻</t>
    <phoneticPr fontId="1" type="noConversion"/>
  </si>
  <si>
    <t>寒凝</t>
    <phoneticPr fontId="1" type="noConversion"/>
  </si>
  <si>
    <t>风燥</t>
    <phoneticPr fontId="1" type="noConversion"/>
  </si>
  <si>
    <t>暗红 紫暗 瘀斑
舌下瘀筋</t>
    <phoneticPr fontId="1" type="noConversion"/>
  </si>
  <si>
    <t>淡紫 瘀斑</t>
    <phoneticPr fontId="1" type="noConversion"/>
  </si>
  <si>
    <t>关键字</t>
    <phoneticPr fontId="1" type="noConversion"/>
  </si>
  <si>
    <t>腐 酸</t>
    <phoneticPr fontId="1" type="noConversion"/>
  </si>
  <si>
    <t>红绛</t>
    <phoneticPr fontId="1" type="noConversion"/>
  </si>
  <si>
    <t>淡红</t>
    <phoneticPr fontId="1" type="noConversion"/>
  </si>
  <si>
    <t>淡嫩红少</t>
    <phoneticPr fontId="1" type="noConversion"/>
  </si>
  <si>
    <t xml:space="preserve">暗紫 </t>
    <phoneticPr fontId="1" type="noConversion"/>
  </si>
  <si>
    <t>弦虚</t>
    <phoneticPr fontId="1" type="noConversion"/>
  </si>
  <si>
    <t>弦 滑 数</t>
    <phoneticPr fontId="1" type="noConversion"/>
  </si>
  <si>
    <t>弦 滑</t>
    <phoneticPr fontId="1" type="noConversion"/>
  </si>
  <si>
    <t>濡 滑</t>
    <phoneticPr fontId="1" type="noConversion"/>
  </si>
  <si>
    <t>濡 沉 数</t>
    <phoneticPr fontId="1" type="noConversion"/>
  </si>
  <si>
    <t>脘/胁 胀 弦 苔薄</t>
    <phoneticPr fontId="1" type="noConversion"/>
  </si>
  <si>
    <t>胖</t>
    <phoneticPr fontId="1" type="noConversion"/>
  </si>
  <si>
    <t>血病 虚证</t>
    <phoneticPr fontId="1" type="noConversion"/>
  </si>
  <si>
    <t>心 虚 血</t>
    <phoneticPr fontId="1" type="noConversion"/>
  </si>
  <si>
    <t>脾胃痛 寒</t>
    <phoneticPr fontId="1" type="noConversion"/>
  </si>
  <si>
    <t>吐泻 实 寒</t>
    <phoneticPr fontId="1" type="noConversion"/>
  </si>
  <si>
    <t>苔白 脉滑 + 突然中风</t>
    <phoneticPr fontId="1" type="noConversion"/>
  </si>
  <si>
    <t>晕/昏 红苔黄 弦</t>
    <phoneticPr fontId="1" type="noConversion"/>
  </si>
  <si>
    <t>红 血/苔黄 弦</t>
    <phoneticPr fontId="1" type="noConversion"/>
  </si>
  <si>
    <t>肺热 咳 口鼻 血</t>
    <phoneticPr fontId="1" type="noConversion"/>
  </si>
  <si>
    <t>肝火 咳</t>
    <phoneticPr fontId="1" type="noConversion"/>
  </si>
  <si>
    <t>痹痛 瘀 心肝</t>
    <phoneticPr fontId="1" type="noConversion"/>
  </si>
  <si>
    <t>头脑 淤血</t>
    <phoneticPr fontId="1" type="noConversion"/>
  </si>
  <si>
    <t>肺气虚</t>
    <phoneticPr fontId="1" type="noConversion"/>
  </si>
  <si>
    <t>口鼻 血 肝火</t>
    <phoneticPr fontId="1" type="noConversion"/>
  </si>
  <si>
    <t>肺痰 -&gt; 二陈</t>
    <phoneticPr fontId="1" type="noConversion"/>
  </si>
  <si>
    <t>阴虚 肺咳</t>
    <phoneticPr fontId="1" type="noConversion"/>
  </si>
  <si>
    <t>阴虚 心</t>
    <phoneticPr fontId="1" type="noConversion"/>
  </si>
  <si>
    <t>阴虚 肠胃</t>
    <phoneticPr fontId="1" type="noConversion"/>
  </si>
  <si>
    <t>阴虚 肾</t>
    <phoneticPr fontId="1" type="noConversion"/>
  </si>
  <si>
    <t>肾虚 阴</t>
    <phoneticPr fontId="1" type="noConversion"/>
  </si>
  <si>
    <t>肾虚 阳</t>
    <phoneticPr fontId="1" type="noConversion"/>
  </si>
  <si>
    <t>气虚 </t>
  </si>
  <si>
    <t>阳虚</t>
  </si>
  <si>
    <t>疲 汗</t>
  </si>
  <si>
    <t>气虚 + 寒</t>
  </si>
  <si>
    <t>汗 骨蒸 脉数</t>
  </si>
  <si>
    <t>神疲乏力 少气懒言 气短 自汗</t>
  </si>
  <si>
    <t>红 热 数 两颧潮红 舌红 五心烦热 潮热盗</t>
  </si>
  <si>
    <t>淡白无华 (黄白神)  脏(目干涩 心悸失眠多梦)</t>
  </si>
  <si>
    <t>畏寒肢冷 小便清长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</si>
</sst>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微软雅黑"/>
      <family val="2"/>
      <charset val="134"/>
    </font>
    <font>
      <sz val="9"/>
      <name val="微软雅黑"/>
      <family val="2"/>
      <charset val="134"/>
    </font>
    <font>
      <b/>
      <sz val="12"/>
      <color rgb="FFB30101"/>
      <name val="宋体"/>
      <family val="3"/>
      <charset val="134"/>
    </font>
    <font>
      <sz val="12"/>
      <color rgb="FF000000"/>
      <name val="宋体"/>
      <family val="3"/>
      <charset val="134"/>
    </font>
    <font>
      <sz val="12"/>
      <color rgb="FF000000"/>
      <name val="Calibri"/>
      <family val="2"/>
    </font>
    <font>
      <sz val="12"/>
      <color rgb="FFBF0000"/>
      <name val="宋体"/>
      <family val="3"/>
      <charset val="134"/>
    </font>
    <font>
      <b/>
      <sz val="12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12"/>
      <name val="宋体"/>
      <family val="3"/>
      <charset val="134"/>
    </font>
    <font>
      <sz val="12"/>
      <color theme="1"/>
      <name val="Unset"/>
      <family val="2"/>
    </font>
    <font>
      <sz val="12"/>
      <color rgb="FF00000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8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2" fillId="9" borderId="0" xfId="0" applyFont="1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0" fontId="2" fillId="10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</cellXfs>
  <cellStyles count="1">
    <cellStyle name="常规" xfId="0" builtinId="0"/>
  </cellStyles>
  <dxfs count="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6" tint="0.79998168889431442"/>
      </font>
      <fill>
        <patternFill patternType="none">
          <bgColor auto="1"/>
        </patternFill>
      </fill>
    </dxf>
    <dxf>
      <font>
        <color theme="6" tint="0.79998168889431442"/>
      </font>
      <fill>
        <patternFill patternType="none">
          <bgColor auto="1"/>
        </patternFill>
      </fill>
    </dxf>
    <dxf>
      <font>
        <color theme="6" tint="0.79998168889431442"/>
      </font>
      <fill>
        <patternFill patternType="none">
          <bgColor auto="1"/>
        </patternFill>
      </fill>
    </dxf>
    <dxf>
      <font>
        <color theme="6" tint="0.79998168889431442"/>
      </font>
      <fill>
        <patternFill patternType="none">
          <bgColor auto="1"/>
        </patternFill>
      </fill>
    </dxf>
    <dxf>
      <font>
        <color theme="6" tint="0.79998168889431442"/>
      </font>
      <fill>
        <patternFill patternType="none">
          <bgColor auto="1"/>
        </patternFill>
      </fill>
    </dxf>
    <dxf>
      <font>
        <color theme="6" tint="0.79998168889431442"/>
      </font>
      <fill>
        <patternFill patternType="none">
          <bgColor auto="1"/>
        </patternFill>
      </fill>
    </dxf>
    <dxf>
      <font>
        <color theme="6" tint="0.79998168889431442"/>
      </font>
      <fill>
        <patternFill patternType="none">
          <bgColor auto="1"/>
        </patternFill>
      </fill>
    </dxf>
    <dxf>
      <font>
        <color theme="6" tint="0.79998168889431442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http://drm.chnedu.com/courses/med/zhongyi/2010/zyys/chongci/zynkx/kcjy/images0106/02.gif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132</xdr:row>
      <xdr:rowOff>0</xdr:rowOff>
    </xdr:from>
    <xdr:to>
      <xdr:col>14</xdr:col>
      <xdr:colOff>160020</xdr:colOff>
      <xdr:row>132</xdr:row>
      <xdr:rowOff>121920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B5FC8F15-94FA-43A1-8787-57DFB5BD63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93980" y="40149780"/>
          <a:ext cx="160020" cy="12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7EDCC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25310-BEC2-45EF-8ABE-EC49C1D67892}">
  <dimension ref="A1:I29"/>
  <sheetViews>
    <sheetView workbookViewId="0">
      <pane xSplit="1" ySplit="1" topLeftCell="D14" activePane="bottomRight" state="frozen"/>
      <selection pane="topRight" activeCell="B1" sqref="B1"/>
      <selection pane="bottomLeft" activeCell="A2" sqref="A2"/>
      <selection pane="bottomRight" activeCell="G30" sqref="G30"/>
    </sheetView>
  </sheetViews>
  <sheetFormatPr defaultRowHeight="17.399999999999999"/>
  <cols>
    <col min="1" max="1" width="5.58203125" style="1" customWidth="1"/>
    <col min="2" max="2" width="8.6640625" style="1"/>
    <col min="3" max="3" width="19.33203125" style="1" bestFit="1" customWidth="1"/>
    <col min="4" max="4" width="18.4140625" style="1" bestFit="1" customWidth="1"/>
    <col min="5" max="5" width="15.1640625" style="1" customWidth="1"/>
    <col min="6" max="6" width="16.75" style="1" bestFit="1" customWidth="1"/>
    <col min="7" max="7" width="8.6640625" style="1"/>
    <col min="8" max="8" width="24.08203125" style="1" customWidth="1"/>
    <col min="9" max="9" width="19.08203125" style="1" bestFit="1" customWidth="1"/>
    <col min="10" max="16384" width="8.6640625" style="1"/>
  </cols>
  <sheetData>
    <row r="1" spans="1:9">
      <c r="C1" s="1" t="s">
        <v>141</v>
      </c>
      <c r="E1" s="1" t="s">
        <v>1801</v>
      </c>
      <c r="G1" s="1" t="s">
        <v>1758</v>
      </c>
      <c r="H1" s="1" t="s">
        <v>19</v>
      </c>
      <c r="I1" s="1" t="s">
        <v>1828</v>
      </c>
    </row>
    <row r="2" spans="1:9">
      <c r="A2" s="1" t="s">
        <v>294</v>
      </c>
      <c r="B2" s="1" t="s">
        <v>1745</v>
      </c>
      <c r="C2" s="1" t="s">
        <v>376</v>
      </c>
      <c r="D2" s="1" t="s">
        <v>1756</v>
      </c>
      <c r="E2" s="1" t="s">
        <v>1757</v>
      </c>
      <c r="F2" s="2" t="s">
        <v>1774</v>
      </c>
      <c r="G2" s="1" t="s">
        <v>66</v>
      </c>
      <c r="H2" s="1" t="s">
        <v>1900</v>
      </c>
    </row>
    <row r="3" spans="1:9">
      <c r="B3" s="1" t="s">
        <v>1746</v>
      </c>
      <c r="C3" s="1" t="s">
        <v>1775</v>
      </c>
      <c r="F3" s="1" t="s">
        <v>1777</v>
      </c>
    </row>
    <row r="4" spans="1:9">
      <c r="B4" s="1" t="s">
        <v>1747</v>
      </c>
      <c r="C4" s="1" t="s">
        <v>1786</v>
      </c>
      <c r="D4" s="1" t="s">
        <v>1811</v>
      </c>
      <c r="H4" s="1" t="s">
        <v>1787</v>
      </c>
    </row>
    <row r="5" spans="1:9">
      <c r="B5" s="1" t="s">
        <v>1748</v>
      </c>
      <c r="C5" s="1" t="s">
        <v>1775</v>
      </c>
      <c r="F5" s="1" t="s">
        <v>1800</v>
      </c>
      <c r="H5" s="1" t="s">
        <v>1799</v>
      </c>
    </row>
    <row r="6" spans="1:9">
      <c r="B6" s="1" t="s">
        <v>190</v>
      </c>
      <c r="C6" s="1" t="s">
        <v>1818</v>
      </c>
      <c r="F6" s="1" t="s">
        <v>1819</v>
      </c>
      <c r="G6" s="1" t="s">
        <v>1820</v>
      </c>
      <c r="I6" s="1" t="s">
        <v>1827</v>
      </c>
    </row>
    <row r="7" spans="1:9" ht="34.799999999999997">
      <c r="A7" s="1" t="s">
        <v>541</v>
      </c>
      <c r="B7" s="1" t="s">
        <v>1749</v>
      </c>
      <c r="C7" s="1" t="s">
        <v>1833</v>
      </c>
      <c r="E7" s="2" t="s">
        <v>1831</v>
      </c>
      <c r="F7" s="1" t="s">
        <v>1800</v>
      </c>
      <c r="I7" s="1" t="s">
        <v>1832</v>
      </c>
    </row>
    <row r="8" spans="1:9">
      <c r="B8" s="1" t="s">
        <v>1751</v>
      </c>
      <c r="C8" s="1" t="s">
        <v>22</v>
      </c>
      <c r="E8" s="1" t="s">
        <v>1840</v>
      </c>
      <c r="H8" s="1" t="s">
        <v>1839</v>
      </c>
      <c r="I8" s="1" t="s">
        <v>1842</v>
      </c>
    </row>
    <row r="9" spans="1:9">
      <c r="B9" s="1" t="s">
        <v>1750</v>
      </c>
      <c r="C9" s="1" t="s">
        <v>670</v>
      </c>
      <c r="E9" s="1" t="s">
        <v>1843</v>
      </c>
    </row>
    <row r="10" spans="1:9">
      <c r="B10" s="1" t="s">
        <v>1830</v>
      </c>
      <c r="C10" s="1" t="s">
        <v>670</v>
      </c>
    </row>
    <row r="11" spans="1:9">
      <c r="B11" s="1" t="s">
        <v>1829</v>
      </c>
      <c r="C11" s="1" t="s">
        <v>22</v>
      </c>
      <c r="I11" s="1" t="s">
        <v>1865</v>
      </c>
    </row>
    <row r="12" spans="1:9">
      <c r="A12" s="1" t="s">
        <v>1752</v>
      </c>
      <c r="B12" s="1" t="s">
        <v>1867</v>
      </c>
      <c r="C12" s="1" t="s">
        <v>1959</v>
      </c>
      <c r="F12" s="1" t="s">
        <v>1961</v>
      </c>
      <c r="H12" s="1" t="s">
        <v>1956</v>
      </c>
      <c r="I12" s="1" t="s">
        <v>1960</v>
      </c>
    </row>
    <row r="13" spans="1:9">
      <c r="B13" s="1" t="s">
        <v>1753</v>
      </c>
      <c r="C13" s="1" t="s">
        <v>1775</v>
      </c>
    </row>
    <row r="14" spans="1:9">
      <c r="B14" s="1" t="s">
        <v>1963</v>
      </c>
    </row>
    <row r="15" spans="1:9">
      <c r="B15" s="1" t="s">
        <v>1957</v>
      </c>
      <c r="C15" s="1" t="s">
        <v>2048</v>
      </c>
      <c r="E15" s="1" t="s">
        <v>2047</v>
      </c>
      <c r="F15" s="1" t="s">
        <v>2051</v>
      </c>
      <c r="G15" s="1" t="s">
        <v>2053</v>
      </c>
      <c r="I15" s="1" t="s">
        <v>2046</v>
      </c>
    </row>
    <row r="16" spans="1:9">
      <c r="B16" s="1" t="s">
        <v>1958</v>
      </c>
      <c r="I16" s="1" t="s">
        <v>2054</v>
      </c>
    </row>
    <row r="17" spans="1:9">
      <c r="B17" s="1" t="s">
        <v>1754</v>
      </c>
      <c r="C17" s="1" t="s">
        <v>2055</v>
      </c>
      <c r="I17" s="1" t="s">
        <v>2056</v>
      </c>
    </row>
    <row r="18" spans="1:9">
      <c r="A18" s="1" t="s">
        <v>1755</v>
      </c>
      <c r="B18" s="1" t="s">
        <v>2058</v>
      </c>
      <c r="F18" s="1" t="s">
        <v>2136</v>
      </c>
      <c r="G18" s="1" t="s">
        <v>2116</v>
      </c>
      <c r="H18" s="1" t="s">
        <v>2115</v>
      </c>
      <c r="I18" s="1" t="s">
        <v>2114</v>
      </c>
    </row>
    <row r="19" spans="1:9">
      <c r="B19" s="1" t="s">
        <v>2059</v>
      </c>
      <c r="C19" s="1" t="s">
        <v>189</v>
      </c>
      <c r="F19" s="1" t="s">
        <v>670</v>
      </c>
      <c r="G19" s="1" t="s">
        <v>2117</v>
      </c>
      <c r="I19" s="1" t="s">
        <v>132</v>
      </c>
    </row>
    <row r="20" spans="1:9">
      <c r="B20" s="1" t="s">
        <v>2113</v>
      </c>
      <c r="D20" s="1" t="s">
        <v>2139</v>
      </c>
      <c r="H20" s="1" t="s">
        <v>2137</v>
      </c>
      <c r="I20" s="1" t="s">
        <v>2138</v>
      </c>
    </row>
    <row r="21" spans="1:9" ht="34.799999999999997">
      <c r="B21" s="1" t="s">
        <v>1776</v>
      </c>
      <c r="E21" s="2" t="s">
        <v>2141</v>
      </c>
      <c r="I21" s="2" t="s">
        <v>2142</v>
      </c>
    </row>
    <row r="22" spans="1:9">
      <c r="B22" s="1" t="s">
        <v>2060</v>
      </c>
      <c r="C22" s="1" t="s">
        <v>2150</v>
      </c>
      <c r="D22" s="1" t="s">
        <v>2151</v>
      </c>
    </row>
    <row r="23" spans="1:9">
      <c r="B23" s="1" t="s">
        <v>1715</v>
      </c>
      <c r="C23" s="1" t="s">
        <v>670</v>
      </c>
      <c r="I23" s="1" t="s">
        <v>2152</v>
      </c>
    </row>
    <row r="24" spans="1:9">
      <c r="A24" s="1" t="s">
        <v>767</v>
      </c>
      <c r="B24" s="1" t="s">
        <v>2162</v>
      </c>
      <c r="F24" s="1" t="s">
        <v>2253</v>
      </c>
      <c r="I24" s="1" t="s">
        <v>2165</v>
      </c>
    </row>
    <row r="25" spans="1:9">
      <c r="B25" s="1" t="s">
        <v>293</v>
      </c>
      <c r="G25" s="1" t="s">
        <v>2264</v>
      </c>
      <c r="I25" s="1" t="s">
        <v>132</v>
      </c>
    </row>
    <row r="26" spans="1:9">
      <c r="A26" s="1" t="s">
        <v>668</v>
      </c>
      <c r="B26" s="1" t="s">
        <v>1696</v>
      </c>
    </row>
    <row r="27" spans="1:9">
      <c r="A27" s="1" t="s">
        <v>668</v>
      </c>
      <c r="B27" s="1" t="s">
        <v>2163</v>
      </c>
      <c r="C27" s="1" t="s">
        <v>2268</v>
      </c>
      <c r="G27" s="1" t="s">
        <v>2269</v>
      </c>
    </row>
    <row r="28" spans="1:9">
      <c r="B28" s="1" t="s">
        <v>709</v>
      </c>
      <c r="I28" s="1" t="s">
        <v>2276</v>
      </c>
    </row>
    <row r="29" spans="1:9">
      <c r="B29" s="1" t="s">
        <v>2164</v>
      </c>
      <c r="C29" s="1" t="s">
        <v>2278</v>
      </c>
      <c r="G29" s="1" t="s">
        <v>2279</v>
      </c>
      <c r="I29" s="1" t="s">
        <v>2280</v>
      </c>
    </row>
  </sheetData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03369-8E37-4C9A-B0C5-E4DE7F67EA38}">
  <dimension ref="A1:R172"/>
  <sheetViews>
    <sheetView zoomScaleNormal="100" workbookViewId="0">
      <pane xSplit="4" ySplit="1" topLeftCell="E42" activePane="bottomRight" state="frozen"/>
      <selection pane="topRight" activeCell="D1" sqref="D1"/>
      <selection pane="bottomLeft" activeCell="A2" sqref="A2"/>
      <selection pane="bottomRight" activeCell="O81" sqref="A43:O81"/>
    </sheetView>
  </sheetViews>
  <sheetFormatPr defaultRowHeight="17.399999999999999"/>
  <cols>
    <col min="1" max="2" width="4.5" style="1" bestFit="1" customWidth="1"/>
    <col min="3" max="3" width="6.1640625" style="1" bestFit="1" customWidth="1"/>
    <col min="4" max="4" width="7.83203125" style="1" bestFit="1" customWidth="1"/>
    <col min="5" max="5" width="6.1640625" style="1" bestFit="1" customWidth="1"/>
    <col min="6" max="6" width="16.6640625" style="1" bestFit="1" customWidth="1"/>
    <col min="7" max="7" width="12.5" style="1" bestFit="1" customWidth="1"/>
    <col min="8" max="8" width="16.6640625" style="1" bestFit="1" customWidth="1"/>
    <col min="9" max="9" width="14.1640625" bestFit="1" customWidth="1"/>
    <col min="10" max="10" width="18.25" style="1" bestFit="1" customWidth="1"/>
    <col min="11" max="11" width="11.83203125" style="1" bestFit="1" customWidth="1"/>
    <col min="12" max="12" width="12.83203125" style="1" customWidth="1"/>
    <col min="13" max="13" width="10" style="1" bestFit="1" customWidth="1"/>
    <col min="14" max="14" width="12.83203125" style="1" customWidth="1"/>
    <col min="15" max="15" width="64.5" style="5" bestFit="1" customWidth="1"/>
    <col min="16" max="16" width="20.25" style="1" bestFit="1" customWidth="1"/>
    <col min="17" max="17" width="4.1640625" style="1" bestFit="1" customWidth="1"/>
    <col min="18" max="18" width="4.5" style="1" bestFit="1" customWidth="1"/>
    <col min="19" max="16384" width="8.6640625" style="1"/>
  </cols>
  <sheetData>
    <row r="1" spans="1:18">
      <c r="A1" s="1" t="s">
        <v>539</v>
      </c>
      <c r="B1" s="1" t="s">
        <v>2616</v>
      </c>
      <c r="C1" s="1" t="s">
        <v>2615</v>
      </c>
      <c r="D1" s="1" t="s">
        <v>2614</v>
      </c>
      <c r="E1" s="1" t="s">
        <v>141</v>
      </c>
      <c r="F1" s="1" t="s">
        <v>1792</v>
      </c>
      <c r="G1" s="1" t="s">
        <v>2298</v>
      </c>
      <c r="H1" s="1" t="s">
        <v>1770</v>
      </c>
      <c r="I1" s="1" t="s">
        <v>19</v>
      </c>
      <c r="J1" s="1" t="s">
        <v>1920</v>
      </c>
      <c r="K1" s="1" t="s">
        <v>2617</v>
      </c>
      <c r="L1" s="1" t="s">
        <v>2545</v>
      </c>
      <c r="M1" s="1" t="s">
        <v>1899</v>
      </c>
      <c r="P1" s="1" t="s">
        <v>1758</v>
      </c>
      <c r="Q1" s="1" t="s">
        <v>687</v>
      </c>
      <c r="R1" s="1" t="s">
        <v>1488</v>
      </c>
    </row>
    <row r="2" spans="1:18" ht="31.2">
      <c r="A2" s="1" t="s">
        <v>294</v>
      </c>
      <c r="B2" s="1" t="s">
        <v>1745</v>
      </c>
      <c r="C2" s="1" t="s">
        <v>1759</v>
      </c>
      <c r="D2" s="1" t="s">
        <v>1761</v>
      </c>
      <c r="F2" s="1" t="s">
        <v>1762</v>
      </c>
      <c r="I2" s="1" t="s">
        <v>1772</v>
      </c>
      <c r="J2" s="1" t="s">
        <v>1901</v>
      </c>
      <c r="L2" s="1" t="s">
        <v>2546</v>
      </c>
      <c r="M2" s="1" t="s">
        <v>1902</v>
      </c>
      <c r="O2" s="5" t="s">
        <v>1873</v>
      </c>
      <c r="Q2" s="1">
        <v>1</v>
      </c>
      <c r="R2" s="1">
        <f t="shared" ref="R2:R33" si="0">COUNTIF(F:H,F2)</f>
        <v>1</v>
      </c>
    </row>
    <row r="3" spans="1:18" ht="31.2">
      <c r="A3" s="1" t="s">
        <v>294</v>
      </c>
      <c r="B3" s="1" t="s">
        <v>1745</v>
      </c>
      <c r="C3" s="1" t="s">
        <v>1759</v>
      </c>
      <c r="D3" s="1" t="s">
        <v>1763</v>
      </c>
      <c r="F3" s="1" t="s">
        <v>595</v>
      </c>
      <c r="I3" s="1" t="s">
        <v>1773</v>
      </c>
      <c r="J3" s="1" t="s">
        <v>608</v>
      </c>
      <c r="K3" s="2" t="s">
        <v>2603</v>
      </c>
      <c r="L3" s="2" t="s">
        <v>2576</v>
      </c>
      <c r="M3" s="1" t="s">
        <v>1903</v>
      </c>
      <c r="O3" s="5" t="s">
        <v>1898</v>
      </c>
      <c r="P3" s="1" t="s">
        <v>1976</v>
      </c>
      <c r="Q3" s="1">
        <v>2</v>
      </c>
      <c r="R3" s="1">
        <f t="shared" si="0"/>
        <v>2</v>
      </c>
    </row>
    <row r="4" spans="1:18" ht="46.8">
      <c r="A4" s="1" t="s">
        <v>294</v>
      </c>
      <c r="B4" s="1" t="s">
        <v>1745</v>
      </c>
      <c r="C4" s="1" t="s">
        <v>1759</v>
      </c>
      <c r="D4" s="1" t="s">
        <v>1764</v>
      </c>
      <c r="E4" s="1" t="s">
        <v>1769</v>
      </c>
      <c r="F4" s="1" t="s">
        <v>1765</v>
      </c>
      <c r="J4" s="1" t="s">
        <v>1908</v>
      </c>
      <c r="L4" s="1" t="s">
        <v>2547</v>
      </c>
      <c r="M4" s="1" t="s">
        <v>1904</v>
      </c>
      <c r="O4" s="5" t="s">
        <v>1874</v>
      </c>
      <c r="P4" s="1" t="s">
        <v>2222</v>
      </c>
      <c r="Q4" s="1">
        <v>3</v>
      </c>
      <c r="R4" s="1">
        <f t="shared" si="0"/>
        <v>1</v>
      </c>
    </row>
    <row r="5" spans="1:18" ht="34.799999999999997">
      <c r="A5" s="1" t="s">
        <v>294</v>
      </c>
      <c r="B5" s="1" t="s">
        <v>1745</v>
      </c>
      <c r="C5" s="1" t="s">
        <v>1760</v>
      </c>
      <c r="D5" s="1" t="s">
        <v>1718</v>
      </c>
      <c r="F5" s="1" t="s">
        <v>588</v>
      </c>
      <c r="J5" s="2" t="s">
        <v>1937</v>
      </c>
      <c r="K5" s="1" t="s">
        <v>2475</v>
      </c>
      <c r="L5" s="1" t="s">
        <v>2548</v>
      </c>
      <c r="M5" s="1" t="s">
        <v>1907</v>
      </c>
      <c r="N5" s="1" t="s">
        <v>1771</v>
      </c>
      <c r="O5" s="5" t="s">
        <v>1875</v>
      </c>
      <c r="P5" s="1" t="s">
        <v>1999</v>
      </c>
      <c r="Q5" s="1">
        <v>4</v>
      </c>
      <c r="R5" s="1">
        <f t="shared" si="0"/>
        <v>1</v>
      </c>
    </row>
    <row r="6" spans="1:18">
      <c r="A6" s="1" t="s">
        <v>294</v>
      </c>
      <c r="B6" s="1" t="s">
        <v>1745</v>
      </c>
      <c r="C6" s="1" t="s">
        <v>1760</v>
      </c>
      <c r="D6" s="1" t="s">
        <v>1767</v>
      </c>
      <c r="F6" s="1" t="s">
        <v>1768</v>
      </c>
      <c r="K6" s="1" t="s">
        <v>2501</v>
      </c>
      <c r="M6" s="1" t="s">
        <v>2465</v>
      </c>
      <c r="O6" s="5" t="s">
        <v>1876</v>
      </c>
      <c r="P6" s="1" t="s">
        <v>2128</v>
      </c>
      <c r="Q6" s="1">
        <v>5</v>
      </c>
      <c r="R6" s="1">
        <f t="shared" si="0"/>
        <v>1</v>
      </c>
    </row>
    <row r="7" spans="1:18" ht="31.2">
      <c r="A7" s="1" t="s">
        <v>294</v>
      </c>
      <c r="B7" s="1" t="s">
        <v>1746</v>
      </c>
      <c r="C7" s="1" t="s">
        <v>1759</v>
      </c>
      <c r="D7" s="1" t="s">
        <v>133</v>
      </c>
      <c r="F7" s="1" t="s">
        <v>2290</v>
      </c>
      <c r="G7" s="1" t="s">
        <v>612</v>
      </c>
      <c r="J7" s="1" t="s">
        <v>1780</v>
      </c>
      <c r="L7" s="1" t="s">
        <v>1919</v>
      </c>
      <c r="M7" s="1" t="s">
        <v>1902</v>
      </c>
      <c r="N7" s="1" t="s">
        <v>1909</v>
      </c>
      <c r="O7" s="5" t="s">
        <v>1877</v>
      </c>
      <c r="P7" s="1" t="s">
        <v>2196</v>
      </c>
      <c r="Q7" s="1">
        <v>6</v>
      </c>
      <c r="R7" s="1">
        <f t="shared" si="0"/>
        <v>1</v>
      </c>
    </row>
    <row r="8" spans="1:18" ht="31.2">
      <c r="A8" s="1" t="s">
        <v>294</v>
      </c>
      <c r="B8" s="1" t="s">
        <v>1746</v>
      </c>
      <c r="C8" s="1" t="s">
        <v>1759</v>
      </c>
      <c r="D8" s="1" t="s">
        <v>134</v>
      </c>
      <c r="F8" s="1" t="s">
        <v>590</v>
      </c>
      <c r="L8" s="1" t="s">
        <v>1915</v>
      </c>
      <c r="M8" s="1" t="s">
        <v>1916</v>
      </c>
      <c r="N8" s="1" t="s">
        <v>1779</v>
      </c>
      <c r="O8" s="5" t="s">
        <v>1878</v>
      </c>
      <c r="Q8" s="1">
        <v>7</v>
      </c>
      <c r="R8" s="1">
        <f t="shared" si="0"/>
        <v>3</v>
      </c>
    </row>
    <row r="9" spans="1:18" ht="46.8">
      <c r="A9" s="1" t="s">
        <v>294</v>
      </c>
      <c r="B9" s="1" t="s">
        <v>1746</v>
      </c>
      <c r="C9" s="1" t="s">
        <v>1759</v>
      </c>
      <c r="D9" s="1" t="s">
        <v>682</v>
      </c>
      <c r="F9" s="2" t="s">
        <v>1782</v>
      </c>
      <c r="J9" s="1" t="s">
        <v>1914</v>
      </c>
      <c r="K9" s="2" t="s">
        <v>2602</v>
      </c>
      <c r="L9" s="2" t="s">
        <v>2577</v>
      </c>
      <c r="M9" s="1" t="s">
        <v>1903</v>
      </c>
      <c r="N9" s="1" t="s">
        <v>1913</v>
      </c>
      <c r="O9" s="5" t="s">
        <v>1879</v>
      </c>
      <c r="P9" s="1" t="s">
        <v>2094</v>
      </c>
      <c r="Q9" s="1">
        <v>8</v>
      </c>
      <c r="R9" s="1">
        <f t="shared" si="0"/>
        <v>1</v>
      </c>
    </row>
    <row r="10" spans="1:18" ht="46.8">
      <c r="A10" s="1" t="s">
        <v>294</v>
      </c>
      <c r="B10" s="1" t="s">
        <v>1746</v>
      </c>
      <c r="C10" s="1" t="s">
        <v>1778</v>
      </c>
      <c r="D10" s="1" t="s">
        <v>22</v>
      </c>
      <c r="F10" s="1" t="s">
        <v>2286</v>
      </c>
      <c r="G10" s="1" t="s">
        <v>1135</v>
      </c>
      <c r="J10" s="1" t="s">
        <v>1785</v>
      </c>
      <c r="L10" s="1" t="s">
        <v>1918</v>
      </c>
      <c r="M10" s="1" t="s">
        <v>1910</v>
      </c>
      <c r="N10" s="1" t="s">
        <v>1911</v>
      </c>
      <c r="O10" s="5" t="s">
        <v>1880</v>
      </c>
      <c r="P10" s="1" t="s">
        <v>2019</v>
      </c>
      <c r="Q10" s="1">
        <v>9</v>
      </c>
      <c r="R10" s="1">
        <f t="shared" si="0"/>
        <v>1</v>
      </c>
    </row>
    <row r="11" spans="1:18" ht="46.8">
      <c r="A11" s="1" t="s">
        <v>294</v>
      </c>
      <c r="B11" s="1" t="s">
        <v>1746</v>
      </c>
      <c r="C11" s="1" t="s">
        <v>1778</v>
      </c>
      <c r="D11" s="1" t="s">
        <v>546</v>
      </c>
      <c r="E11" s="1" t="s">
        <v>144</v>
      </c>
      <c r="F11" s="1" t="s">
        <v>542</v>
      </c>
      <c r="H11" s="1" t="s">
        <v>1784</v>
      </c>
      <c r="J11" s="1" t="s">
        <v>1781</v>
      </c>
      <c r="K11" s="2" t="s">
        <v>2604</v>
      </c>
      <c r="L11" s="2" t="s">
        <v>2578</v>
      </c>
      <c r="M11" s="1" t="s">
        <v>1917</v>
      </c>
      <c r="N11" s="1" t="s">
        <v>1912</v>
      </c>
      <c r="O11" s="5" t="s">
        <v>1881</v>
      </c>
      <c r="Q11" s="1">
        <v>10</v>
      </c>
      <c r="R11" s="1">
        <f t="shared" si="0"/>
        <v>2</v>
      </c>
    </row>
    <row r="12" spans="1:18" ht="31.2">
      <c r="A12" s="1" t="s">
        <v>294</v>
      </c>
      <c r="B12" s="1" t="s">
        <v>1746</v>
      </c>
      <c r="C12" s="1" t="s">
        <v>1778</v>
      </c>
      <c r="D12" s="1" t="s">
        <v>1766</v>
      </c>
      <c r="F12" s="1" t="s">
        <v>1783</v>
      </c>
      <c r="K12" s="1" t="s">
        <v>2501</v>
      </c>
      <c r="M12" s="1" t="s">
        <v>2465</v>
      </c>
      <c r="O12" s="5" t="s">
        <v>1882</v>
      </c>
      <c r="P12" s="1" t="s">
        <v>2194</v>
      </c>
      <c r="Q12" s="1">
        <v>11</v>
      </c>
      <c r="R12" s="1">
        <f t="shared" si="0"/>
        <v>1</v>
      </c>
    </row>
    <row r="13" spans="1:18" ht="46.8">
      <c r="A13" s="1" t="s">
        <v>294</v>
      </c>
      <c r="B13" s="1" t="s">
        <v>1747</v>
      </c>
      <c r="C13" s="1" t="s">
        <v>1788</v>
      </c>
      <c r="D13" s="1" t="s">
        <v>1789</v>
      </c>
      <c r="F13" s="1" t="s">
        <v>1795</v>
      </c>
      <c r="J13" s="1" t="s">
        <v>1936</v>
      </c>
      <c r="L13" s="1" t="s">
        <v>1923</v>
      </c>
      <c r="M13" s="1" t="s">
        <v>1924</v>
      </c>
      <c r="N13" s="1" t="s">
        <v>1791</v>
      </c>
      <c r="O13" s="5" t="s">
        <v>1883</v>
      </c>
      <c r="P13" s="1" t="s">
        <v>2200</v>
      </c>
      <c r="Q13" s="1">
        <v>12</v>
      </c>
      <c r="R13" s="1">
        <f t="shared" si="0"/>
        <v>1</v>
      </c>
    </row>
    <row r="14" spans="1:18" ht="46.8">
      <c r="A14" s="1" t="s">
        <v>294</v>
      </c>
      <c r="B14" s="1" t="s">
        <v>1747</v>
      </c>
      <c r="C14" s="1" t="s">
        <v>1788</v>
      </c>
      <c r="D14" s="1" t="s">
        <v>134</v>
      </c>
      <c r="E14" s="1" t="s">
        <v>608</v>
      </c>
      <c r="F14" s="1" t="s">
        <v>1585</v>
      </c>
      <c r="J14" s="1" t="s">
        <v>1927</v>
      </c>
      <c r="K14" s="1" t="s">
        <v>2522</v>
      </c>
      <c r="L14" s="1" t="s">
        <v>2553</v>
      </c>
      <c r="M14" s="1" t="s">
        <v>1925</v>
      </c>
      <c r="N14" s="1" t="s">
        <v>1793</v>
      </c>
      <c r="O14" s="5" t="s">
        <v>1884</v>
      </c>
      <c r="P14" s="1" t="s">
        <v>2012</v>
      </c>
      <c r="Q14" s="1">
        <v>13</v>
      </c>
      <c r="R14" s="1">
        <f t="shared" si="0"/>
        <v>1</v>
      </c>
    </row>
    <row r="15" spans="1:18" ht="34.799999999999997">
      <c r="A15" s="1" t="s">
        <v>294</v>
      </c>
      <c r="B15" s="1" t="s">
        <v>1747</v>
      </c>
      <c r="C15" s="1" t="s">
        <v>1790</v>
      </c>
      <c r="D15" s="1" t="s">
        <v>1794</v>
      </c>
      <c r="F15" s="1" t="s">
        <v>2289</v>
      </c>
      <c r="I15" s="1" t="s">
        <v>1798</v>
      </c>
      <c r="J15" s="2" t="s">
        <v>1934</v>
      </c>
      <c r="K15" s="1" t="s">
        <v>2514</v>
      </c>
      <c r="L15" s="1" t="s">
        <v>2548</v>
      </c>
      <c r="M15" s="1" t="s">
        <v>1906</v>
      </c>
      <c r="N15" s="1" t="s">
        <v>1922</v>
      </c>
      <c r="O15" s="5" t="s">
        <v>1868</v>
      </c>
      <c r="Q15" s="1">
        <v>14</v>
      </c>
      <c r="R15" s="1">
        <f t="shared" si="0"/>
        <v>2</v>
      </c>
    </row>
    <row r="16" spans="1:18" ht="46.8">
      <c r="A16" s="1" t="s">
        <v>294</v>
      </c>
      <c r="B16" s="1" t="s">
        <v>1747</v>
      </c>
      <c r="C16" s="1" t="s">
        <v>1790</v>
      </c>
      <c r="D16" s="1" t="s">
        <v>792</v>
      </c>
      <c r="E16" s="1" t="s">
        <v>1797</v>
      </c>
      <c r="F16" s="1" t="s">
        <v>1796</v>
      </c>
      <c r="J16" s="2" t="s">
        <v>1935</v>
      </c>
      <c r="K16" s="1" t="s">
        <v>2579</v>
      </c>
      <c r="L16" s="1" t="s">
        <v>2580</v>
      </c>
      <c r="M16" s="1" t="s">
        <v>1926</v>
      </c>
      <c r="N16" s="1" t="s">
        <v>1921</v>
      </c>
      <c r="O16" s="5" t="s">
        <v>1869</v>
      </c>
      <c r="P16" s="1" t="s">
        <v>2089</v>
      </c>
      <c r="Q16" s="1">
        <v>15</v>
      </c>
      <c r="R16" s="1">
        <f t="shared" si="0"/>
        <v>1</v>
      </c>
    </row>
    <row r="17" spans="1:18" ht="31.2">
      <c r="A17" s="1" t="s">
        <v>294</v>
      </c>
      <c r="B17" s="1" t="s">
        <v>1748</v>
      </c>
      <c r="C17" s="1" t="s">
        <v>145</v>
      </c>
      <c r="D17" s="1" t="s">
        <v>1803</v>
      </c>
      <c r="F17" s="1" t="s">
        <v>1628</v>
      </c>
      <c r="J17" s="1" t="s">
        <v>1815</v>
      </c>
      <c r="K17" s="2" t="s">
        <v>2581</v>
      </c>
      <c r="L17" s="2" t="s">
        <v>2582</v>
      </c>
      <c r="M17" s="1" t="s">
        <v>1929</v>
      </c>
      <c r="O17" s="5" t="s">
        <v>1870</v>
      </c>
      <c r="P17" s="1" t="s">
        <v>2202</v>
      </c>
      <c r="Q17" s="1">
        <v>16</v>
      </c>
      <c r="R17" s="1">
        <f t="shared" si="0"/>
        <v>3</v>
      </c>
    </row>
    <row r="18" spans="1:18" ht="46.8">
      <c r="A18" s="1" t="s">
        <v>294</v>
      </c>
      <c r="B18" s="1" t="s">
        <v>1748</v>
      </c>
      <c r="C18" s="1" t="s">
        <v>145</v>
      </c>
      <c r="D18" s="1" t="s">
        <v>1804</v>
      </c>
      <c r="F18" s="1" t="s">
        <v>1645</v>
      </c>
      <c r="J18" s="1" t="s">
        <v>1814</v>
      </c>
      <c r="K18" s="1" t="s">
        <v>2605</v>
      </c>
      <c r="M18" s="1" t="s">
        <v>1905</v>
      </c>
      <c r="O18" s="5" t="s">
        <v>1871</v>
      </c>
      <c r="Q18" s="1">
        <v>17</v>
      </c>
      <c r="R18" s="1">
        <f t="shared" si="0"/>
        <v>3</v>
      </c>
    </row>
    <row r="19" spans="1:18" ht="31.2">
      <c r="A19" s="1" t="s">
        <v>294</v>
      </c>
      <c r="B19" s="1" t="s">
        <v>1748</v>
      </c>
      <c r="C19" s="1" t="s">
        <v>544</v>
      </c>
      <c r="D19" s="1" t="s">
        <v>1761</v>
      </c>
      <c r="F19" s="1" t="s">
        <v>600</v>
      </c>
      <c r="I19" s="1" t="s">
        <v>1809</v>
      </c>
      <c r="J19" s="1" t="s">
        <v>1812</v>
      </c>
      <c r="L19" s="1" t="s">
        <v>1933</v>
      </c>
      <c r="M19" s="1" t="s">
        <v>1902</v>
      </c>
      <c r="N19" s="1" t="s">
        <v>1928</v>
      </c>
      <c r="O19" s="5" t="s">
        <v>1885</v>
      </c>
      <c r="P19" s="1" t="s">
        <v>2104</v>
      </c>
      <c r="Q19" s="1">
        <v>18</v>
      </c>
      <c r="R19" s="1">
        <f t="shared" si="0"/>
        <v>1</v>
      </c>
    </row>
    <row r="20" spans="1:18" ht="31.2">
      <c r="A20" s="1" t="s">
        <v>294</v>
      </c>
      <c r="B20" s="1" t="s">
        <v>1748</v>
      </c>
      <c r="C20" s="1" t="s">
        <v>544</v>
      </c>
      <c r="D20" s="1" t="s">
        <v>1802</v>
      </c>
      <c r="F20" s="1" t="s">
        <v>597</v>
      </c>
      <c r="J20" s="1" t="s">
        <v>608</v>
      </c>
      <c r="K20" s="2"/>
      <c r="L20" s="2" t="s">
        <v>2583</v>
      </c>
      <c r="M20" s="1" t="s">
        <v>1930</v>
      </c>
      <c r="O20" s="5" t="s">
        <v>1886</v>
      </c>
      <c r="P20" s="1" t="s">
        <v>2105</v>
      </c>
      <c r="Q20" s="1">
        <v>19</v>
      </c>
      <c r="R20" s="1">
        <f t="shared" si="0"/>
        <v>1</v>
      </c>
    </row>
    <row r="21" spans="1:18" ht="31.2">
      <c r="A21" s="1" t="s">
        <v>294</v>
      </c>
      <c r="B21" s="1" t="s">
        <v>1748</v>
      </c>
      <c r="C21" s="1" t="s">
        <v>544</v>
      </c>
      <c r="D21" s="1" t="s">
        <v>1805</v>
      </c>
      <c r="F21" s="1" t="s">
        <v>1807</v>
      </c>
      <c r="I21" s="1" t="s">
        <v>1810</v>
      </c>
      <c r="J21" s="1" t="s">
        <v>1785</v>
      </c>
      <c r="L21" s="1" t="s">
        <v>1918</v>
      </c>
      <c r="M21" s="1" t="s">
        <v>1931</v>
      </c>
      <c r="O21" s="5" t="s">
        <v>1887</v>
      </c>
      <c r="P21" s="1" t="s">
        <v>2017</v>
      </c>
      <c r="Q21" s="1">
        <v>20</v>
      </c>
      <c r="R21" s="1">
        <f t="shared" si="0"/>
        <v>1</v>
      </c>
    </row>
    <row r="22" spans="1:18" ht="31.2">
      <c r="A22" s="1" t="s">
        <v>294</v>
      </c>
      <c r="B22" s="1" t="s">
        <v>1748</v>
      </c>
      <c r="C22" s="1" t="s">
        <v>544</v>
      </c>
      <c r="D22" s="1" t="s">
        <v>1806</v>
      </c>
      <c r="F22" s="1" t="s">
        <v>1808</v>
      </c>
      <c r="I22" s="1" t="s">
        <v>1816</v>
      </c>
      <c r="J22" s="1" t="s">
        <v>1813</v>
      </c>
      <c r="L22" s="1" t="s">
        <v>1932</v>
      </c>
      <c r="M22" s="1" t="s">
        <v>1917</v>
      </c>
      <c r="O22" s="5" t="s">
        <v>1888</v>
      </c>
      <c r="P22" s="1" t="s">
        <v>2216</v>
      </c>
      <c r="Q22" s="1">
        <v>21</v>
      </c>
      <c r="R22" s="1">
        <f t="shared" si="0"/>
        <v>1</v>
      </c>
    </row>
    <row r="23" spans="1:18" ht="31.2">
      <c r="A23" s="1" t="s">
        <v>294</v>
      </c>
      <c r="B23" s="1" t="s">
        <v>1817</v>
      </c>
      <c r="C23" s="1" t="s">
        <v>1821</v>
      </c>
      <c r="E23" s="1" t="s">
        <v>376</v>
      </c>
      <c r="F23" s="1" t="s">
        <v>595</v>
      </c>
      <c r="K23" s="1" t="s">
        <v>2515</v>
      </c>
      <c r="O23" s="5" t="s">
        <v>1889</v>
      </c>
      <c r="P23" s="1" t="s">
        <v>1980</v>
      </c>
      <c r="Q23" s="1">
        <v>22</v>
      </c>
      <c r="R23" s="1">
        <f t="shared" si="0"/>
        <v>2</v>
      </c>
    </row>
    <row r="24" spans="1:18" ht="31.2">
      <c r="A24" s="1" t="s">
        <v>294</v>
      </c>
      <c r="B24" s="1" t="s">
        <v>1817</v>
      </c>
      <c r="C24" s="1" t="s">
        <v>1822</v>
      </c>
      <c r="F24" s="1" t="s">
        <v>1519</v>
      </c>
      <c r="K24" s="1" t="s">
        <v>2515</v>
      </c>
      <c r="O24" s="5" t="s">
        <v>1890</v>
      </c>
      <c r="P24" s="1" t="s">
        <v>2217</v>
      </c>
      <c r="Q24" s="1">
        <v>23</v>
      </c>
      <c r="R24" s="1">
        <f t="shared" si="0"/>
        <v>1</v>
      </c>
    </row>
    <row r="25" spans="1:18" ht="31.2">
      <c r="A25" s="1" t="s">
        <v>294</v>
      </c>
      <c r="B25" s="1" t="s">
        <v>1817</v>
      </c>
      <c r="C25" s="1" t="s">
        <v>1823</v>
      </c>
      <c r="F25" s="1" t="s">
        <v>1825</v>
      </c>
      <c r="K25" s="1" t="s">
        <v>2515</v>
      </c>
      <c r="O25" s="5" t="s">
        <v>1891</v>
      </c>
      <c r="P25" s="1" t="s">
        <v>2091</v>
      </c>
      <c r="Q25" s="1">
        <v>24</v>
      </c>
      <c r="R25" s="1">
        <f t="shared" si="0"/>
        <v>1</v>
      </c>
    </row>
    <row r="26" spans="1:18" ht="62.4">
      <c r="A26" s="1" t="s">
        <v>294</v>
      </c>
      <c r="B26" s="1" t="s">
        <v>1817</v>
      </c>
      <c r="C26" s="1" t="s">
        <v>1824</v>
      </c>
      <c r="E26" s="1" t="s">
        <v>1767</v>
      </c>
      <c r="F26" s="1" t="s">
        <v>1826</v>
      </c>
      <c r="K26" s="1" t="s">
        <v>2515</v>
      </c>
      <c r="O26" s="5" t="s">
        <v>1892</v>
      </c>
      <c r="P26" s="1" t="s">
        <v>2197</v>
      </c>
      <c r="Q26" s="1">
        <v>25</v>
      </c>
      <c r="R26" s="1">
        <f t="shared" si="0"/>
        <v>1</v>
      </c>
    </row>
    <row r="27" spans="1:18" ht="31.2">
      <c r="A27" s="1" t="s">
        <v>541</v>
      </c>
      <c r="B27" s="1" t="s">
        <v>1749</v>
      </c>
      <c r="C27" s="1" t="s">
        <v>544</v>
      </c>
      <c r="D27" s="1" t="s">
        <v>1836</v>
      </c>
      <c r="E27" s="1" t="s">
        <v>1836</v>
      </c>
      <c r="F27" s="1" t="s">
        <v>2288</v>
      </c>
      <c r="G27" s="2" t="s">
        <v>2302</v>
      </c>
      <c r="I27" t="s">
        <v>1834</v>
      </c>
      <c r="J27" s="1" t="s">
        <v>1943</v>
      </c>
      <c r="K27" s="2" t="s">
        <v>2557</v>
      </c>
      <c r="L27" s="2"/>
      <c r="M27" s="1" t="s">
        <v>1938</v>
      </c>
      <c r="O27" s="5" t="s">
        <v>1872</v>
      </c>
      <c r="P27" s="1" t="s">
        <v>2217</v>
      </c>
      <c r="Q27" s="1">
        <v>26</v>
      </c>
      <c r="R27" s="1">
        <f t="shared" si="0"/>
        <v>2</v>
      </c>
    </row>
    <row r="28" spans="1:18" ht="31.2">
      <c r="A28" s="1" t="s">
        <v>541</v>
      </c>
      <c r="B28" s="1" t="s">
        <v>1749</v>
      </c>
      <c r="C28" s="1" t="s">
        <v>544</v>
      </c>
      <c r="D28" s="1" t="s">
        <v>1858</v>
      </c>
      <c r="E28" s="1" t="s">
        <v>486</v>
      </c>
      <c r="F28" s="1" t="s">
        <v>1667</v>
      </c>
      <c r="H28" s="1" t="s">
        <v>1837</v>
      </c>
      <c r="J28" s="1" t="s">
        <v>1949</v>
      </c>
      <c r="K28" s="2" t="s">
        <v>2606</v>
      </c>
      <c r="L28" s="2" t="s">
        <v>1923</v>
      </c>
      <c r="M28" s="1" t="s">
        <v>1939</v>
      </c>
      <c r="O28" s="5" t="s">
        <v>1893</v>
      </c>
      <c r="Q28" s="1">
        <v>27</v>
      </c>
      <c r="R28" s="1">
        <f t="shared" si="0"/>
        <v>2</v>
      </c>
    </row>
    <row r="29" spans="1:18" ht="34.799999999999997">
      <c r="A29" s="1" t="s">
        <v>541</v>
      </c>
      <c r="B29" s="1" t="s">
        <v>1749</v>
      </c>
      <c r="C29" s="1" t="s">
        <v>145</v>
      </c>
      <c r="D29" s="1" t="s">
        <v>1857</v>
      </c>
      <c r="E29" s="1" t="s">
        <v>410</v>
      </c>
      <c r="F29" s="1" t="s">
        <v>2288</v>
      </c>
      <c r="G29" s="1" t="s">
        <v>2296</v>
      </c>
      <c r="H29" s="1" t="s">
        <v>1838</v>
      </c>
      <c r="J29" s="1" t="s">
        <v>1789</v>
      </c>
      <c r="K29" s="1" t="s">
        <v>2475</v>
      </c>
      <c r="L29" s="1" t="s">
        <v>2548</v>
      </c>
      <c r="M29" s="2" t="s">
        <v>1940</v>
      </c>
      <c r="O29" s="5" t="s">
        <v>1894</v>
      </c>
      <c r="P29" s="1" t="s">
        <v>2086</v>
      </c>
      <c r="Q29" s="1">
        <v>28</v>
      </c>
      <c r="R29" s="1">
        <f t="shared" si="0"/>
        <v>2</v>
      </c>
    </row>
    <row r="30" spans="1:18" ht="31.2">
      <c r="A30" s="1" t="s">
        <v>541</v>
      </c>
      <c r="B30" s="1" t="s">
        <v>1749</v>
      </c>
      <c r="C30" s="1" t="s">
        <v>145</v>
      </c>
      <c r="D30" s="1" t="s">
        <v>1854</v>
      </c>
      <c r="E30" s="1" t="s">
        <v>88</v>
      </c>
      <c r="F30" s="1" t="s">
        <v>1835</v>
      </c>
      <c r="J30" s="1" t="s">
        <v>1947</v>
      </c>
      <c r="L30" s="1" t="s">
        <v>1919</v>
      </c>
      <c r="M30" s="1" t="s">
        <v>1941</v>
      </c>
      <c r="O30" s="5" t="s">
        <v>1895</v>
      </c>
      <c r="Q30" s="1">
        <v>29</v>
      </c>
      <c r="R30" s="1">
        <f t="shared" si="0"/>
        <v>2</v>
      </c>
    </row>
    <row r="31" spans="1:18" ht="34.799999999999997">
      <c r="A31" s="1" t="s">
        <v>541</v>
      </c>
      <c r="B31" s="1" t="s">
        <v>1749</v>
      </c>
      <c r="C31" s="1" t="s">
        <v>145</v>
      </c>
      <c r="D31" s="1" t="s">
        <v>1855</v>
      </c>
      <c r="E31" s="1" t="s">
        <v>184</v>
      </c>
      <c r="F31" s="1" t="s">
        <v>1055</v>
      </c>
      <c r="J31" s="1" t="s">
        <v>1948</v>
      </c>
      <c r="K31" s="1" t="s">
        <v>1942</v>
      </c>
      <c r="M31" s="1" t="s">
        <v>1906</v>
      </c>
      <c r="N31" s="2" t="s">
        <v>1944</v>
      </c>
      <c r="O31" s="5" t="s">
        <v>1896</v>
      </c>
      <c r="Q31" s="1">
        <v>30</v>
      </c>
      <c r="R31" s="1">
        <f t="shared" si="0"/>
        <v>9</v>
      </c>
    </row>
    <row r="32" spans="1:18" ht="31.2">
      <c r="A32" s="1" t="s">
        <v>541</v>
      </c>
      <c r="B32" s="1" t="s">
        <v>1749</v>
      </c>
      <c r="C32" s="1" t="s">
        <v>145</v>
      </c>
      <c r="D32" s="1" t="s">
        <v>1767</v>
      </c>
      <c r="E32" s="1" t="s">
        <v>409</v>
      </c>
      <c r="F32" s="1" t="s">
        <v>1525</v>
      </c>
      <c r="G32" s="1" t="s">
        <v>1073</v>
      </c>
      <c r="J32" s="1" t="s">
        <v>1946</v>
      </c>
      <c r="K32" s="2" t="s">
        <v>2501</v>
      </c>
      <c r="L32" s="2"/>
      <c r="M32" s="1" t="s">
        <v>2465</v>
      </c>
      <c r="N32" s="1" t="s">
        <v>1945</v>
      </c>
      <c r="O32" s="5" t="s">
        <v>1897</v>
      </c>
      <c r="P32" s="1" t="s">
        <v>2216</v>
      </c>
      <c r="Q32" s="1">
        <v>31</v>
      </c>
      <c r="R32" s="1">
        <f t="shared" si="0"/>
        <v>2</v>
      </c>
    </row>
    <row r="33" spans="1:18" ht="31.2">
      <c r="A33" s="1" t="s">
        <v>541</v>
      </c>
      <c r="B33" s="1" t="s">
        <v>1751</v>
      </c>
      <c r="C33" s="1" t="s">
        <v>145</v>
      </c>
      <c r="D33" s="1" t="s">
        <v>1859</v>
      </c>
      <c r="E33" s="1" t="s">
        <v>88</v>
      </c>
      <c r="F33" s="1" t="s">
        <v>1628</v>
      </c>
      <c r="G33" s="1" t="s">
        <v>2307</v>
      </c>
      <c r="L33" s="1" t="s">
        <v>1919</v>
      </c>
      <c r="M33" s="1" t="s">
        <v>2487</v>
      </c>
      <c r="O33" s="5" t="s">
        <v>2349</v>
      </c>
      <c r="P33" s="1" t="s">
        <v>2204</v>
      </c>
      <c r="Q33" s="1">
        <v>32</v>
      </c>
      <c r="R33" s="1">
        <f t="shared" si="0"/>
        <v>3</v>
      </c>
    </row>
    <row r="34" spans="1:18" ht="31.2">
      <c r="A34" s="1" t="s">
        <v>541</v>
      </c>
      <c r="B34" s="1" t="s">
        <v>1751</v>
      </c>
      <c r="C34" s="1" t="s">
        <v>145</v>
      </c>
      <c r="D34" s="1" t="s">
        <v>1860</v>
      </c>
      <c r="E34" s="1" t="s">
        <v>410</v>
      </c>
      <c r="F34" s="1" t="s">
        <v>2297</v>
      </c>
      <c r="G34" s="1" t="s">
        <v>2315</v>
      </c>
      <c r="L34" s="1" t="s">
        <v>2549</v>
      </c>
      <c r="M34" s="1" t="s">
        <v>2488</v>
      </c>
      <c r="O34" s="5" t="s">
        <v>2350</v>
      </c>
      <c r="P34" s="1" t="s">
        <v>1996</v>
      </c>
      <c r="Q34" s="1">
        <v>33</v>
      </c>
      <c r="R34" s="1">
        <f t="shared" ref="R34:R65" si="1">COUNTIF(F:H,F34)</f>
        <v>3</v>
      </c>
    </row>
    <row r="35" spans="1:18" ht="46.8">
      <c r="A35" s="1" t="s">
        <v>541</v>
      </c>
      <c r="B35" s="1" t="s">
        <v>1751</v>
      </c>
      <c r="C35" s="1" t="s">
        <v>544</v>
      </c>
      <c r="D35" s="1" t="s">
        <v>1856</v>
      </c>
      <c r="E35" s="1" t="s">
        <v>1836</v>
      </c>
      <c r="F35" s="1" t="s">
        <v>1088</v>
      </c>
      <c r="L35" s="1" t="s">
        <v>1932</v>
      </c>
      <c r="M35" s="1" t="s">
        <v>2458</v>
      </c>
      <c r="O35" s="5" t="s">
        <v>2351</v>
      </c>
      <c r="P35" s="1" t="s">
        <v>1978</v>
      </c>
      <c r="Q35" s="1">
        <v>34</v>
      </c>
      <c r="R35" s="1">
        <f t="shared" si="1"/>
        <v>2</v>
      </c>
    </row>
    <row r="36" spans="1:18" ht="31.2">
      <c r="A36" s="1" t="s">
        <v>541</v>
      </c>
      <c r="B36" s="1" t="s">
        <v>1751</v>
      </c>
      <c r="C36" s="1" t="s">
        <v>544</v>
      </c>
      <c r="D36" s="1" t="s">
        <v>1719</v>
      </c>
      <c r="E36" s="1" t="s">
        <v>1841</v>
      </c>
      <c r="F36" s="1" t="s">
        <v>1082</v>
      </c>
      <c r="L36" s="1" t="s">
        <v>2550</v>
      </c>
      <c r="M36" s="1" t="s">
        <v>2489</v>
      </c>
      <c r="O36" s="5" t="s">
        <v>2352</v>
      </c>
      <c r="Q36" s="1">
        <v>35</v>
      </c>
      <c r="R36" s="1">
        <f t="shared" si="1"/>
        <v>6</v>
      </c>
    </row>
    <row r="37" spans="1:18" ht="31.2">
      <c r="A37" s="1" t="s">
        <v>541</v>
      </c>
      <c r="B37" s="1" t="s">
        <v>1751</v>
      </c>
      <c r="C37" s="1" t="s">
        <v>544</v>
      </c>
      <c r="D37" s="1" t="s">
        <v>22</v>
      </c>
      <c r="E37" s="1" t="s">
        <v>22</v>
      </c>
      <c r="F37" s="1" t="s">
        <v>2293</v>
      </c>
      <c r="G37" s="1" t="s">
        <v>2301</v>
      </c>
      <c r="L37" s="1" t="s">
        <v>2551</v>
      </c>
      <c r="M37" s="1" t="s">
        <v>2490</v>
      </c>
      <c r="O37" s="5" t="s">
        <v>2353</v>
      </c>
      <c r="P37" s="1" t="s">
        <v>2082</v>
      </c>
      <c r="Q37" s="1">
        <v>36</v>
      </c>
      <c r="R37" s="1">
        <f t="shared" si="1"/>
        <v>1</v>
      </c>
    </row>
    <row r="38" spans="1:18" ht="46.8">
      <c r="A38" s="1" t="s">
        <v>541</v>
      </c>
      <c r="B38" s="1" t="s">
        <v>1751</v>
      </c>
      <c r="C38" s="1" t="s">
        <v>544</v>
      </c>
      <c r="D38" s="1" t="s">
        <v>133</v>
      </c>
      <c r="E38" s="1" t="s">
        <v>133</v>
      </c>
      <c r="F38" s="1" t="s">
        <v>2292</v>
      </c>
      <c r="G38" s="1" t="s">
        <v>1042</v>
      </c>
      <c r="L38" s="1" t="s">
        <v>1919</v>
      </c>
      <c r="M38" s="1" t="s">
        <v>2491</v>
      </c>
      <c r="O38" s="5" t="s">
        <v>2354</v>
      </c>
      <c r="P38" s="1" t="s">
        <v>2243</v>
      </c>
      <c r="Q38" s="1">
        <v>37</v>
      </c>
      <c r="R38" s="1">
        <f t="shared" si="1"/>
        <v>1</v>
      </c>
    </row>
    <row r="39" spans="1:18" ht="52.2">
      <c r="A39" s="1" t="s">
        <v>541</v>
      </c>
      <c r="B39" s="1" t="s">
        <v>1750</v>
      </c>
      <c r="C39" s="1" t="s">
        <v>544</v>
      </c>
      <c r="D39" s="1" t="s">
        <v>546</v>
      </c>
      <c r="F39" s="1" t="s">
        <v>1024</v>
      </c>
      <c r="I39" s="2" t="s">
        <v>2257</v>
      </c>
      <c r="K39" s="1" t="s">
        <v>2522</v>
      </c>
      <c r="L39" s="1" t="s">
        <v>2552</v>
      </c>
      <c r="M39" s="1" t="s">
        <v>2492</v>
      </c>
      <c r="O39" s="5" t="s">
        <v>2355</v>
      </c>
      <c r="Q39" s="1">
        <v>38</v>
      </c>
      <c r="R39" s="1">
        <f t="shared" si="1"/>
        <v>5</v>
      </c>
    </row>
    <row r="40" spans="1:18">
      <c r="A40" s="1" t="s">
        <v>541</v>
      </c>
      <c r="B40" s="1" t="s">
        <v>1750</v>
      </c>
      <c r="C40" s="1" t="s">
        <v>544</v>
      </c>
      <c r="D40" s="1" t="s">
        <v>1950</v>
      </c>
      <c r="F40" s="1" t="s">
        <v>1844</v>
      </c>
      <c r="I40" s="1" t="s">
        <v>1864</v>
      </c>
      <c r="K40" s="1" t="s">
        <v>2522</v>
      </c>
      <c r="L40" s="1" t="s">
        <v>2553</v>
      </c>
      <c r="M40" s="1" t="s">
        <v>2474</v>
      </c>
      <c r="O40" s="5" t="s">
        <v>2356</v>
      </c>
      <c r="P40" s="1" t="s">
        <v>2083</v>
      </c>
      <c r="Q40" s="1">
        <v>39</v>
      </c>
      <c r="R40" s="1">
        <f t="shared" si="1"/>
        <v>1</v>
      </c>
    </row>
    <row r="41" spans="1:18" ht="31.2">
      <c r="A41" s="1" t="s">
        <v>541</v>
      </c>
      <c r="B41" s="1" t="s">
        <v>1750</v>
      </c>
      <c r="C41" s="1" t="s">
        <v>145</v>
      </c>
      <c r="D41" s="1" t="s">
        <v>1953</v>
      </c>
      <c r="F41" s="1" t="s">
        <v>1637</v>
      </c>
      <c r="K41" s="1" t="s">
        <v>2514</v>
      </c>
      <c r="L41" s="1" t="s">
        <v>1932</v>
      </c>
      <c r="M41" s="1" t="s">
        <v>2477</v>
      </c>
      <c r="O41" s="5" t="s">
        <v>2357</v>
      </c>
      <c r="Q41" s="1">
        <v>40</v>
      </c>
      <c r="R41" s="1">
        <f t="shared" si="1"/>
        <v>9</v>
      </c>
    </row>
    <row r="42" spans="1:18" ht="31.2">
      <c r="A42" s="1" t="s">
        <v>541</v>
      </c>
      <c r="B42" s="1" t="s">
        <v>1750</v>
      </c>
      <c r="C42" s="1" t="s">
        <v>145</v>
      </c>
      <c r="D42" s="1" t="s">
        <v>1955</v>
      </c>
      <c r="F42" s="1" t="s">
        <v>2285</v>
      </c>
      <c r="G42" s="1" t="s">
        <v>1075</v>
      </c>
      <c r="K42" s="1" t="s">
        <v>2475</v>
      </c>
      <c r="M42" s="1" t="s">
        <v>2493</v>
      </c>
      <c r="O42" s="5" t="s">
        <v>2358</v>
      </c>
      <c r="Q42" s="1">
        <v>41</v>
      </c>
      <c r="R42" s="1">
        <f t="shared" si="1"/>
        <v>2</v>
      </c>
    </row>
    <row r="43" spans="1:18" ht="31.2">
      <c r="A43" s="1" t="s">
        <v>541</v>
      </c>
      <c r="B43" s="1" t="s">
        <v>1750</v>
      </c>
      <c r="C43" s="1" t="s">
        <v>145</v>
      </c>
      <c r="D43" s="1" t="s">
        <v>1849</v>
      </c>
      <c r="E43" s="1" t="s">
        <v>1861</v>
      </c>
      <c r="F43" s="1" t="s">
        <v>1642</v>
      </c>
      <c r="G43" s="1" t="s">
        <v>2303</v>
      </c>
      <c r="K43" s="1" t="s">
        <v>2554</v>
      </c>
      <c r="M43" s="1" t="s">
        <v>1905</v>
      </c>
      <c r="O43" s="5" t="s">
        <v>2359</v>
      </c>
      <c r="P43" s="1" t="s">
        <v>2101</v>
      </c>
      <c r="Q43" s="1">
        <v>42</v>
      </c>
      <c r="R43" s="1">
        <f t="shared" si="1"/>
        <v>4</v>
      </c>
    </row>
    <row r="44" spans="1:18" ht="31.2">
      <c r="A44" s="1" t="s">
        <v>541</v>
      </c>
      <c r="B44" s="1" t="s">
        <v>1830</v>
      </c>
      <c r="C44" s="1" t="s">
        <v>1862</v>
      </c>
      <c r="D44" s="1" t="s">
        <v>1850</v>
      </c>
      <c r="F44" s="1" t="s">
        <v>508</v>
      </c>
      <c r="G44" s="1" t="s">
        <v>2314</v>
      </c>
      <c r="K44" s="1" t="s">
        <v>2522</v>
      </c>
      <c r="L44" s="1" t="s">
        <v>2555</v>
      </c>
      <c r="M44" s="1" t="s">
        <v>2479</v>
      </c>
      <c r="O44" s="5" t="s">
        <v>2360</v>
      </c>
      <c r="P44" s="1" t="s">
        <v>2224</v>
      </c>
      <c r="Q44" s="1">
        <v>43</v>
      </c>
      <c r="R44" s="1">
        <f t="shared" si="1"/>
        <v>1</v>
      </c>
    </row>
    <row r="45" spans="1:18" ht="31.2">
      <c r="A45" s="1" t="s">
        <v>541</v>
      </c>
      <c r="B45" s="1" t="s">
        <v>1830</v>
      </c>
      <c r="C45" s="1" t="s">
        <v>1862</v>
      </c>
      <c r="D45" s="1" t="s">
        <v>1953</v>
      </c>
      <c r="F45" s="1" t="s">
        <v>2316</v>
      </c>
      <c r="G45" s="1" t="s">
        <v>1077</v>
      </c>
      <c r="K45" s="1" t="s">
        <v>2514</v>
      </c>
      <c r="L45" s="1" t="s">
        <v>1919</v>
      </c>
      <c r="M45" s="1" t="s">
        <v>2463</v>
      </c>
      <c r="O45" s="5" t="s">
        <v>2361</v>
      </c>
      <c r="P45" s="1" t="s">
        <v>2219</v>
      </c>
      <c r="Q45" s="1">
        <v>44</v>
      </c>
      <c r="R45" s="1">
        <f t="shared" si="1"/>
        <v>1</v>
      </c>
    </row>
    <row r="46" spans="1:18" ht="46.8">
      <c r="A46" s="1" t="s">
        <v>541</v>
      </c>
      <c r="B46" s="1" t="s">
        <v>1830</v>
      </c>
      <c r="C46" s="1" t="s">
        <v>1863</v>
      </c>
      <c r="D46" s="1" t="s">
        <v>1951</v>
      </c>
      <c r="F46" s="1" t="s">
        <v>1845</v>
      </c>
      <c r="K46" s="2" t="s">
        <v>2556</v>
      </c>
      <c r="L46" s="2" t="s">
        <v>2584</v>
      </c>
      <c r="M46" s="1" t="s">
        <v>2494</v>
      </c>
      <c r="O46" s="5" t="s">
        <v>2362</v>
      </c>
      <c r="P46" s="1" t="s">
        <v>2206</v>
      </c>
      <c r="Q46" s="1">
        <v>45</v>
      </c>
      <c r="R46" s="1">
        <f t="shared" si="1"/>
        <v>1</v>
      </c>
    </row>
    <row r="47" spans="1:18" ht="46.8">
      <c r="A47" s="1" t="s">
        <v>541</v>
      </c>
      <c r="B47" s="1" t="s">
        <v>1830</v>
      </c>
      <c r="C47" s="1" t="s">
        <v>1863</v>
      </c>
      <c r="D47" s="1" t="s">
        <v>1950</v>
      </c>
      <c r="F47" s="1" t="s">
        <v>1846</v>
      </c>
      <c r="K47" s="2" t="s">
        <v>2585</v>
      </c>
      <c r="L47" s="2" t="s">
        <v>2586</v>
      </c>
      <c r="M47" s="1" t="s">
        <v>2495</v>
      </c>
      <c r="O47" s="5" t="s">
        <v>2363</v>
      </c>
      <c r="Q47" s="1">
        <v>46</v>
      </c>
      <c r="R47" s="1">
        <f t="shared" si="1"/>
        <v>1</v>
      </c>
    </row>
    <row r="48" spans="1:18" ht="31.2">
      <c r="A48" s="1" t="s">
        <v>541</v>
      </c>
      <c r="B48" s="1" t="s">
        <v>1830</v>
      </c>
      <c r="C48" s="1" t="s">
        <v>1863</v>
      </c>
      <c r="D48" s="1" t="s">
        <v>1851</v>
      </c>
      <c r="F48" s="1" t="s">
        <v>2287</v>
      </c>
      <c r="G48" s="1" t="s">
        <v>2309</v>
      </c>
      <c r="H48" s="1" t="s">
        <v>1852</v>
      </c>
      <c r="K48" s="1" t="s">
        <v>2587</v>
      </c>
      <c r="L48" s="1" t="s">
        <v>2588</v>
      </c>
      <c r="M48" s="1" t="s">
        <v>1905</v>
      </c>
      <c r="O48" s="5" t="s">
        <v>2364</v>
      </c>
      <c r="P48" s="1" t="s">
        <v>2020</v>
      </c>
      <c r="Q48" s="1">
        <v>47</v>
      </c>
      <c r="R48" s="1">
        <f t="shared" si="1"/>
        <v>1</v>
      </c>
    </row>
    <row r="49" spans="1:18" ht="62.4">
      <c r="A49" s="1" t="s">
        <v>541</v>
      </c>
      <c r="B49" s="1" t="s">
        <v>1829</v>
      </c>
      <c r="C49" s="1" t="s">
        <v>544</v>
      </c>
      <c r="D49" s="1" t="s">
        <v>1952</v>
      </c>
      <c r="E49" s="1" t="s">
        <v>90</v>
      </c>
      <c r="F49" s="1" t="s">
        <v>1847</v>
      </c>
      <c r="K49" s="1" t="s">
        <v>2522</v>
      </c>
      <c r="L49" s="1" t="s">
        <v>1918</v>
      </c>
      <c r="M49" s="1" t="s">
        <v>2496</v>
      </c>
      <c r="O49" s="5" t="s">
        <v>2317</v>
      </c>
      <c r="P49" s="1" t="s">
        <v>2013</v>
      </c>
      <c r="Q49" s="1">
        <v>48</v>
      </c>
      <c r="R49" s="1">
        <f t="shared" si="1"/>
        <v>1</v>
      </c>
    </row>
    <row r="50" spans="1:18" ht="32.4">
      <c r="A50" s="1" t="s">
        <v>541</v>
      </c>
      <c r="B50" s="1" t="s">
        <v>1829</v>
      </c>
      <c r="C50" s="1" t="s">
        <v>544</v>
      </c>
      <c r="D50" s="1" t="s">
        <v>1951</v>
      </c>
      <c r="E50" s="1" t="s">
        <v>1866</v>
      </c>
      <c r="F50" s="1" t="s">
        <v>543</v>
      </c>
      <c r="G50" s="1" t="s">
        <v>2301</v>
      </c>
      <c r="K50" s="1" t="s">
        <v>2522</v>
      </c>
      <c r="L50" s="1" t="s">
        <v>2553</v>
      </c>
      <c r="M50" s="1" t="s">
        <v>2497</v>
      </c>
      <c r="O50" s="5" t="s">
        <v>2365</v>
      </c>
      <c r="P50" s="1" t="s">
        <v>2102</v>
      </c>
      <c r="Q50" s="1">
        <v>49</v>
      </c>
      <c r="R50" s="1">
        <f t="shared" si="1"/>
        <v>5</v>
      </c>
    </row>
    <row r="51" spans="1:18" ht="47.4">
      <c r="A51" s="1" t="s">
        <v>541</v>
      </c>
      <c r="B51" s="1" t="s">
        <v>1829</v>
      </c>
      <c r="C51" s="1" t="s">
        <v>544</v>
      </c>
      <c r="D51" s="1" t="s">
        <v>1853</v>
      </c>
      <c r="E51" s="1" t="s">
        <v>1836</v>
      </c>
      <c r="F51" s="1" t="s">
        <v>1848</v>
      </c>
      <c r="K51" s="2" t="s">
        <v>2589</v>
      </c>
      <c r="L51" s="2" t="s">
        <v>1919</v>
      </c>
      <c r="M51" s="1" t="s">
        <v>2498</v>
      </c>
      <c r="O51" s="5" t="s">
        <v>2366</v>
      </c>
      <c r="Q51" s="1">
        <v>50</v>
      </c>
      <c r="R51" s="1">
        <f t="shared" si="1"/>
        <v>2</v>
      </c>
    </row>
    <row r="52" spans="1:18" ht="31.2">
      <c r="A52" s="1" t="s">
        <v>541</v>
      </c>
      <c r="B52" s="1" t="s">
        <v>1829</v>
      </c>
      <c r="C52" s="1" t="s">
        <v>145</v>
      </c>
      <c r="D52" s="1" t="s">
        <v>1953</v>
      </c>
      <c r="F52" s="1" t="s">
        <v>1055</v>
      </c>
      <c r="G52" s="1" t="s">
        <v>2289</v>
      </c>
      <c r="K52" s="1" t="s">
        <v>2514</v>
      </c>
      <c r="L52" s="1" t="s">
        <v>1918</v>
      </c>
      <c r="M52" s="1" t="s">
        <v>2499</v>
      </c>
      <c r="O52" s="5" t="s">
        <v>2319</v>
      </c>
      <c r="P52" s="1" t="s">
        <v>2099</v>
      </c>
      <c r="Q52" s="1">
        <v>51</v>
      </c>
      <c r="R52" s="1">
        <f t="shared" si="1"/>
        <v>9</v>
      </c>
    </row>
    <row r="53" spans="1:18" ht="31.8">
      <c r="A53" s="1" t="s">
        <v>541</v>
      </c>
      <c r="B53" s="1" t="s">
        <v>1829</v>
      </c>
      <c r="C53" s="1" t="s">
        <v>145</v>
      </c>
      <c r="D53" s="1" t="s">
        <v>1954</v>
      </c>
      <c r="F53" s="1" t="s">
        <v>1643</v>
      </c>
      <c r="G53" s="1" t="s">
        <v>1074</v>
      </c>
      <c r="K53" s="1" t="s">
        <v>1942</v>
      </c>
      <c r="M53" s="1" t="s">
        <v>2500</v>
      </c>
      <c r="O53" s="5" t="s">
        <v>2367</v>
      </c>
      <c r="P53" s="1" t="s">
        <v>2246</v>
      </c>
      <c r="Q53" s="1">
        <v>52</v>
      </c>
      <c r="R53" s="1">
        <f t="shared" si="1"/>
        <v>3</v>
      </c>
    </row>
    <row r="54" spans="1:18" ht="31.2">
      <c r="A54" s="1" t="s">
        <v>1752</v>
      </c>
      <c r="B54" s="1" t="s">
        <v>1867</v>
      </c>
      <c r="C54" s="1" t="s">
        <v>145</v>
      </c>
      <c r="D54" s="1" t="s">
        <v>1767</v>
      </c>
      <c r="E54" s="1" t="s">
        <v>409</v>
      </c>
      <c r="F54" s="1" t="s">
        <v>1641</v>
      </c>
      <c r="G54" s="1" t="s">
        <v>2304</v>
      </c>
      <c r="K54" s="1" t="s">
        <v>2501</v>
      </c>
      <c r="M54" s="1" t="s">
        <v>2465</v>
      </c>
      <c r="O54" s="5" t="s">
        <v>2368</v>
      </c>
      <c r="P54" s="1" t="s">
        <v>1972</v>
      </c>
      <c r="Q54" s="1">
        <v>53</v>
      </c>
      <c r="R54" s="1">
        <f t="shared" si="1"/>
        <v>3</v>
      </c>
    </row>
    <row r="55" spans="1:18" ht="46.8">
      <c r="A55" s="1" t="s">
        <v>1752</v>
      </c>
      <c r="B55" s="1" t="s">
        <v>1867</v>
      </c>
      <c r="C55" s="1" t="s">
        <v>145</v>
      </c>
      <c r="D55" s="1" t="s">
        <v>2031</v>
      </c>
      <c r="E55" s="1" t="s">
        <v>410</v>
      </c>
      <c r="F55" s="1" t="s">
        <v>1979</v>
      </c>
      <c r="K55" s="1" t="s">
        <v>2514</v>
      </c>
      <c r="L55" s="1" t="s">
        <v>2548</v>
      </c>
      <c r="M55" s="1" t="s">
        <v>2502</v>
      </c>
      <c r="O55" s="5" t="s">
        <v>2369</v>
      </c>
      <c r="P55" s="1" t="s">
        <v>2084</v>
      </c>
      <c r="Q55" s="1">
        <v>54</v>
      </c>
      <c r="R55" s="1">
        <f t="shared" si="1"/>
        <v>1</v>
      </c>
    </row>
    <row r="56" spans="1:18" ht="31.2">
      <c r="A56" s="1" t="s">
        <v>1752</v>
      </c>
      <c r="B56" s="1" t="s">
        <v>1867</v>
      </c>
      <c r="C56" s="1" t="s">
        <v>544</v>
      </c>
      <c r="D56" s="1" t="s">
        <v>133</v>
      </c>
      <c r="E56" s="1" t="s">
        <v>133</v>
      </c>
      <c r="F56" s="1" t="s">
        <v>1971</v>
      </c>
      <c r="I56" s="1" t="s">
        <v>2033</v>
      </c>
      <c r="K56" s="1" t="s">
        <v>2514</v>
      </c>
      <c r="L56" s="1" t="s">
        <v>1919</v>
      </c>
      <c r="M56" s="1" t="s">
        <v>2461</v>
      </c>
      <c r="O56" s="5" t="s">
        <v>2370</v>
      </c>
      <c r="Q56" s="1">
        <v>55</v>
      </c>
      <c r="R56" s="1">
        <f t="shared" si="1"/>
        <v>2</v>
      </c>
    </row>
    <row r="57" spans="1:18" ht="31.2">
      <c r="A57" s="1" t="s">
        <v>1752</v>
      </c>
      <c r="B57" s="1" t="s">
        <v>1867</v>
      </c>
      <c r="C57" s="1" t="s">
        <v>544</v>
      </c>
      <c r="D57" s="1" t="s">
        <v>1567</v>
      </c>
      <c r="E57" s="1" t="s">
        <v>1567</v>
      </c>
      <c r="F57" s="1" t="s">
        <v>1137</v>
      </c>
      <c r="L57" s="1" t="s">
        <v>2558</v>
      </c>
      <c r="M57" s="1" t="s">
        <v>2490</v>
      </c>
      <c r="O57" s="5" t="s">
        <v>2371</v>
      </c>
      <c r="Q57" s="1">
        <v>56</v>
      </c>
      <c r="R57" s="1">
        <f t="shared" si="1"/>
        <v>3</v>
      </c>
    </row>
    <row r="58" spans="1:18" ht="31.2">
      <c r="A58" s="1" t="s">
        <v>1752</v>
      </c>
      <c r="B58" s="1" t="s">
        <v>1867</v>
      </c>
      <c r="C58" s="1" t="s">
        <v>544</v>
      </c>
      <c r="D58" s="1" t="s">
        <v>132</v>
      </c>
      <c r="E58" s="1" t="s">
        <v>134</v>
      </c>
      <c r="F58" s="1" t="s">
        <v>1974</v>
      </c>
      <c r="I58" s="1" t="s">
        <v>2032</v>
      </c>
      <c r="L58" s="1" t="s">
        <v>2553</v>
      </c>
      <c r="M58" s="1" t="s">
        <v>2474</v>
      </c>
      <c r="O58" s="5" t="s">
        <v>2372</v>
      </c>
      <c r="P58" s="1" t="s">
        <v>2112</v>
      </c>
      <c r="Q58" s="1">
        <v>57</v>
      </c>
      <c r="R58" s="1">
        <f t="shared" si="1"/>
        <v>1</v>
      </c>
    </row>
    <row r="59" spans="1:18" ht="31.2">
      <c r="A59" s="1" t="s">
        <v>1752</v>
      </c>
      <c r="B59" s="1" t="s">
        <v>1867</v>
      </c>
      <c r="C59" s="1" t="s">
        <v>544</v>
      </c>
      <c r="D59" s="1" t="s">
        <v>2028</v>
      </c>
      <c r="E59" s="1" t="s">
        <v>88</v>
      </c>
      <c r="F59" s="1" t="s">
        <v>1082</v>
      </c>
      <c r="L59" s="1" t="s">
        <v>1919</v>
      </c>
      <c r="M59" s="1" t="s">
        <v>1917</v>
      </c>
      <c r="O59" s="5" t="s">
        <v>2373</v>
      </c>
      <c r="Q59" s="1">
        <v>58</v>
      </c>
      <c r="R59" s="1">
        <f t="shared" si="1"/>
        <v>6</v>
      </c>
    </row>
    <row r="60" spans="1:18" ht="31.2">
      <c r="A60" s="1" t="s">
        <v>1752</v>
      </c>
      <c r="B60" s="1" t="s">
        <v>1867</v>
      </c>
      <c r="C60" s="1" t="s">
        <v>544</v>
      </c>
      <c r="D60" s="1" t="s">
        <v>2027</v>
      </c>
      <c r="E60" s="1" t="s">
        <v>184</v>
      </c>
      <c r="F60" s="1" t="s">
        <v>1613</v>
      </c>
      <c r="G60" s="1" t="s">
        <v>2312</v>
      </c>
      <c r="K60" s="1" t="s">
        <v>2504</v>
      </c>
      <c r="M60" s="1" t="s">
        <v>2503</v>
      </c>
      <c r="O60" s="5" t="s">
        <v>2374</v>
      </c>
      <c r="P60" s="1" t="s">
        <v>2207</v>
      </c>
      <c r="Q60" s="1">
        <v>59</v>
      </c>
      <c r="R60" s="1">
        <f t="shared" si="1"/>
        <v>1</v>
      </c>
    </row>
    <row r="61" spans="1:18">
      <c r="A61" s="1" t="s">
        <v>1752</v>
      </c>
      <c r="B61" s="1" t="s">
        <v>1753</v>
      </c>
      <c r="C61" s="1" t="s">
        <v>544</v>
      </c>
      <c r="D61" s="1" t="s">
        <v>2036</v>
      </c>
      <c r="E61" s="1" t="s">
        <v>133</v>
      </c>
      <c r="F61" s="1" t="s">
        <v>1115</v>
      </c>
      <c r="I61" s="1" t="s">
        <v>2041</v>
      </c>
      <c r="L61" s="1" t="s">
        <v>1918</v>
      </c>
      <c r="M61" s="1" t="s">
        <v>2460</v>
      </c>
      <c r="O61" s="5" t="s">
        <v>2375</v>
      </c>
      <c r="Q61" s="1">
        <v>60</v>
      </c>
      <c r="R61" s="1">
        <f t="shared" si="1"/>
        <v>2</v>
      </c>
    </row>
    <row r="62" spans="1:18">
      <c r="A62" s="1" t="s">
        <v>1752</v>
      </c>
      <c r="B62" s="1" t="s">
        <v>1753</v>
      </c>
      <c r="C62" s="1" t="s">
        <v>544</v>
      </c>
      <c r="D62" s="1" t="s">
        <v>2037</v>
      </c>
      <c r="E62" s="1" t="s">
        <v>1567</v>
      </c>
      <c r="F62" s="1" t="s">
        <v>1137</v>
      </c>
      <c r="L62" s="1" t="s">
        <v>2558</v>
      </c>
      <c r="M62" s="1" t="s">
        <v>2505</v>
      </c>
      <c r="O62" s="5" t="s">
        <v>2376</v>
      </c>
      <c r="Q62" s="1">
        <v>61</v>
      </c>
      <c r="R62" s="1">
        <f t="shared" si="1"/>
        <v>3</v>
      </c>
    </row>
    <row r="63" spans="1:18">
      <c r="A63" s="1" t="s">
        <v>1752</v>
      </c>
      <c r="B63" s="1" t="s">
        <v>1753</v>
      </c>
      <c r="C63" s="1" t="s">
        <v>544</v>
      </c>
      <c r="D63" s="1" t="s">
        <v>1964</v>
      </c>
      <c r="E63" s="1" t="s">
        <v>88</v>
      </c>
      <c r="F63" s="1" t="s">
        <v>1983</v>
      </c>
      <c r="K63" s="1" t="s">
        <v>2522</v>
      </c>
      <c r="L63" s="1" t="s">
        <v>2559</v>
      </c>
      <c r="M63" s="1" t="s">
        <v>1917</v>
      </c>
      <c r="O63" s="5" t="s">
        <v>2377</v>
      </c>
      <c r="P63" s="1" t="s">
        <v>2212</v>
      </c>
      <c r="Q63" s="1">
        <v>62</v>
      </c>
      <c r="R63" s="1">
        <f t="shared" si="1"/>
        <v>1</v>
      </c>
    </row>
    <row r="64" spans="1:18">
      <c r="A64" s="1" t="s">
        <v>1752</v>
      </c>
      <c r="B64" s="1" t="s">
        <v>1753</v>
      </c>
      <c r="C64" s="1" t="s">
        <v>544</v>
      </c>
      <c r="D64" s="1" t="s">
        <v>2038</v>
      </c>
      <c r="E64" s="1" t="s">
        <v>2034</v>
      </c>
      <c r="F64" s="1" t="s">
        <v>1667</v>
      </c>
      <c r="G64" s="1" t="s">
        <v>2306</v>
      </c>
      <c r="L64" s="1" t="s">
        <v>1918</v>
      </c>
      <c r="M64" s="1" t="s">
        <v>2490</v>
      </c>
      <c r="O64" s="5" t="s">
        <v>2378</v>
      </c>
      <c r="Q64" s="1">
        <v>63</v>
      </c>
      <c r="R64" s="1">
        <f t="shared" si="1"/>
        <v>2</v>
      </c>
    </row>
    <row r="65" spans="1:18">
      <c r="A65" s="1" t="s">
        <v>1752</v>
      </c>
      <c r="B65" s="1" t="s">
        <v>1753</v>
      </c>
      <c r="C65" s="1" t="s">
        <v>145</v>
      </c>
      <c r="D65" s="1" t="s">
        <v>1718</v>
      </c>
      <c r="E65" s="1" t="s">
        <v>2035</v>
      </c>
      <c r="F65" s="1" t="s">
        <v>1986</v>
      </c>
      <c r="I65" s="1" t="s">
        <v>2042</v>
      </c>
      <c r="L65" s="1" t="s">
        <v>1923</v>
      </c>
      <c r="M65" s="1" t="s">
        <v>2506</v>
      </c>
      <c r="O65" s="5" t="s">
        <v>2379</v>
      </c>
      <c r="P65" s="1" t="s">
        <v>2223</v>
      </c>
      <c r="Q65" s="1">
        <v>64</v>
      </c>
      <c r="R65" s="1">
        <f t="shared" si="1"/>
        <v>1</v>
      </c>
    </row>
    <row r="66" spans="1:18" ht="31.2">
      <c r="A66" s="1" t="s">
        <v>1752</v>
      </c>
      <c r="B66" s="1" t="s">
        <v>1753</v>
      </c>
      <c r="C66" s="1" t="s">
        <v>145</v>
      </c>
      <c r="D66" s="1" t="s">
        <v>2039</v>
      </c>
      <c r="E66" s="1" t="s">
        <v>410</v>
      </c>
      <c r="F66" s="1" t="s">
        <v>1988</v>
      </c>
      <c r="K66" s="1" t="s">
        <v>2475</v>
      </c>
      <c r="M66" s="1" t="s">
        <v>2507</v>
      </c>
      <c r="O66" s="5" t="s">
        <v>2380</v>
      </c>
      <c r="Q66" s="1">
        <v>65</v>
      </c>
      <c r="R66" s="1">
        <f t="shared" ref="R66:R97" si="2">COUNTIF(F:H,F66)</f>
        <v>1</v>
      </c>
    </row>
    <row r="67" spans="1:18">
      <c r="A67" s="1" t="s">
        <v>1752</v>
      </c>
      <c r="B67" s="1" t="s">
        <v>1753</v>
      </c>
      <c r="C67" s="1" t="s">
        <v>145</v>
      </c>
      <c r="D67" s="1" t="s">
        <v>2040</v>
      </c>
      <c r="E67" s="1" t="s">
        <v>409</v>
      </c>
      <c r="F67" s="1" t="s">
        <v>1112</v>
      </c>
      <c r="K67" s="1" t="s">
        <v>2501</v>
      </c>
      <c r="M67" s="1" t="s">
        <v>2465</v>
      </c>
      <c r="O67" s="5" t="s">
        <v>2381</v>
      </c>
      <c r="P67" s="1" t="s">
        <v>2107</v>
      </c>
      <c r="Q67" s="1">
        <v>66</v>
      </c>
      <c r="R67" s="1">
        <f t="shared" si="2"/>
        <v>1</v>
      </c>
    </row>
    <row r="68" spans="1:18" ht="31.2">
      <c r="A68" s="1" t="s">
        <v>1752</v>
      </c>
      <c r="B68" s="1" t="s">
        <v>1963</v>
      </c>
      <c r="C68" s="1" t="s">
        <v>145</v>
      </c>
      <c r="D68" s="1" t="s">
        <v>2043</v>
      </c>
      <c r="E68" s="1" t="s">
        <v>410</v>
      </c>
      <c r="F68" s="1" t="s">
        <v>574</v>
      </c>
      <c r="I68" s="1" t="s">
        <v>2045</v>
      </c>
      <c r="K68" s="1" t="s">
        <v>2514</v>
      </c>
      <c r="L68" s="1" t="s">
        <v>1919</v>
      </c>
      <c r="M68" s="1" t="s">
        <v>1926</v>
      </c>
      <c r="O68" s="5" t="s">
        <v>2382</v>
      </c>
      <c r="P68" s="1" t="s">
        <v>2227</v>
      </c>
      <c r="Q68" s="1">
        <v>67</v>
      </c>
      <c r="R68" s="1">
        <f t="shared" si="2"/>
        <v>1</v>
      </c>
    </row>
    <row r="69" spans="1:18" ht="31.2">
      <c r="A69" s="1" t="s">
        <v>1752</v>
      </c>
      <c r="B69" s="1" t="s">
        <v>1963</v>
      </c>
      <c r="C69" s="1" t="s">
        <v>544</v>
      </c>
      <c r="D69" s="1" t="s">
        <v>133</v>
      </c>
      <c r="E69" s="1" t="s">
        <v>133</v>
      </c>
      <c r="F69" s="1" t="s">
        <v>2044</v>
      </c>
      <c r="G69" s="1" t="s">
        <v>2305</v>
      </c>
      <c r="K69" s="1" t="s">
        <v>2514</v>
      </c>
      <c r="L69" s="1" t="s">
        <v>1918</v>
      </c>
      <c r="M69" s="1" t="s">
        <v>2508</v>
      </c>
      <c r="O69" s="5" t="s">
        <v>2383</v>
      </c>
      <c r="Q69" s="1">
        <v>68</v>
      </c>
      <c r="R69" s="1">
        <f t="shared" si="2"/>
        <v>2</v>
      </c>
    </row>
    <row r="70" spans="1:18" ht="31.2">
      <c r="A70" s="1" t="s">
        <v>1752</v>
      </c>
      <c r="B70" s="1" t="s">
        <v>1963</v>
      </c>
      <c r="C70" s="1" t="s">
        <v>544</v>
      </c>
      <c r="D70" s="1" t="s">
        <v>132</v>
      </c>
      <c r="E70" s="1" t="s">
        <v>134</v>
      </c>
      <c r="F70" s="1" t="s">
        <v>1001</v>
      </c>
      <c r="H70" s="1" t="s">
        <v>1991</v>
      </c>
      <c r="K70" s="1" t="s">
        <v>2522</v>
      </c>
      <c r="L70" s="1" t="s">
        <v>2560</v>
      </c>
      <c r="M70" s="1" t="s">
        <v>2474</v>
      </c>
      <c r="O70" s="5" t="s">
        <v>2384</v>
      </c>
      <c r="P70" s="1" t="s">
        <v>2002</v>
      </c>
      <c r="Q70" s="1">
        <v>69</v>
      </c>
      <c r="R70" s="1">
        <f t="shared" si="2"/>
        <v>1</v>
      </c>
    </row>
    <row r="71" spans="1:18" ht="31.2">
      <c r="A71" s="1" t="s">
        <v>1752</v>
      </c>
      <c r="B71" s="1" t="s">
        <v>1963</v>
      </c>
      <c r="C71" s="1" t="s">
        <v>544</v>
      </c>
      <c r="D71" s="1" t="s">
        <v>1965</v>
      </c>
      <c r="E71" s="1" t="s">
        <v>88</v>
      </c>
      <c r="F71" s="1" t="s">
        <v>1082</v>
      </c>
      <c r="K71" s="1" t="s">
        <v>2522</v>
      </c>
      <c r="L71" s="1" t="s">
        <v>1919</v>
      </c>
      <c r="M71" s="1" t="s">
        <v>1917</v>
      </c>
      <c r="O71" s="5" t="s">
        <v>2385</v>
      </c>
      <c r="Q71" s="1">
        <v>70</v>
      </c>
      <c r="R71" s="1">
        <f t="shared" si="2"/>
        <v>6</v>
      </c>
    </row>
    <row r="72" spans="1:18">
      <c r="A72" s="1" t="s">
        <v>1752</v>
      </c>
      <c r="B72" s="1" t="s">
        <v>1963</v>
      </c>
      <c r="C72" s="1" t="s">
        <v>544</v>
      </c>
      <c r="D72" s="1" t="s">
        <v>1966</v>
      </c>
      <c r="E72" s="1" t="s">
        <v>184</v>
      </c>
      <c r="F72" s="1" t="s">
        <v>1994</v>
      </c>
      <c r="K72" s="1" t="s">
        <v>2509</v>
      </c>
      <c r="M72" s="1" t="s">
        <v>2510</v>
      </c>
      <c r="O72" s="5" t="s">
        <v>2386</v>
      </c>
      <c r="P72" s="1" t="s">
        <v>2199</v>
      </c>
      <c r="Q72" s="1">
        <v>71</v>
      </c>
      <c r="R72" s="1">
        <f t="shared" si="2"/>
        <v>1</v>
      </c>
    </row>
    <row r="73" spans="1:18" ht="31.2">
      <c r="A73" s="1" t="s">
        <v>1752</v>
      </c>
      <c r="B73" s="1" t="s">
        <v>1957</v>
      </c>
      <c r="C73" s="1" t="s">
        <v>2050</v>
      </c>
      <c r="D73" s="1" t="s">
        <v>587</v>
      </c>
      <c r="E73" s="1" t="s">
        <v>133</v>
      </c>
      <c r="F73" s="1" t="s">
        <v>1115</v>
      </c>
      <c r="I73" s="1" t="s">
        <v>2052</v>
      </c>
      <c r="L73" s="1" t="s">
        <v>1919</v>
      </c>
      <c r="M73" s="1" t="s">
        <v>2511</v>
      </c>
      <c r="O73" s="5" t="s">
        <v>2387</v>
      </c>
      <c r="Q73" s="1">
        <v>72</v>
      </c>
      <c r="R73" s="1">
        <f t="shared" si="2"/>
        <v>2</v>
      </c>
    </row>
    <row r="74" spans="1:18" ht="31.2">
      <c r="A74" s="1" t="s">
        <v>1752</v>
      </c>
      <c r="B74" s="1" t="s">
        <v>1957</v>
      </c>
      <c r="C74" s="1" t="s">
        <v>2050</v>
      </c>
      <c r="D74" s="1" t="s">
        <v>132</v>
      </c>
      <c r="E74" s="1" t="s">
        <v>134</v>
      </c>
      <c r="F74" s="1" t="s">
        <v>1997</v>
      </c>
      <c r="K74" s="1" t="s">
        <v>2522</v>
      </c>
      <c r="L74" s="1" t="s">
        <v>2553</v>
      </c>
      <c r="M74" s="1" t="s">
        <v>2512</v>
      </c>
      <c r="O74" s="5" t="s">
        <v>2388</v>
      </c>
      <c r="P74" s="1" t="s">
        <v>2081</v>
      </c>
      <c r="Q74" s="1">
        <v>73</v>
      </c>
      <c r="R74" s="1">
        <f t="shared" si="2"/>
        <v>1</v>
      </c>
    </row>
    <row r="75" spans="1:18" ht="31.2">
      <c r="A75" s="1" t="s">
        <v>1752</v>
      </c>
      <c r="B75" s="1" t="s">
        <v>1957</v>
      </c>
      <c r="C75" s="1" t="s">
        <v>2050</v>
      </c>
      <c r="D75" s="1" t="s">
        <v>2037</v>
      </c>
      <c r="E75" s="1" t="s">
        <v>1567</v>
      </c>
      <c r="F75" s="1" t="s">
        <v>1137</v>
      </c>
      <c r="L75" s="1" t="s">
        <v>2561</v>
      </c>
      <c r="M75" s="1" t="s">
        <v>2490</v>
      </c>
      <c r="O75" s="5" t="s">
        <v>2389</v>
      </c>
      <c r="Q75" s="1">
        <v>74</v>
      </c>
      <c r="R75" s="1">
        <f t="shared" si="2"/>
        <v>3</v>
      </c>
    </row>
    <row r="76" spans="1:18" ht="31.2">
      <c r="A76" s="1" t="s">
        <v>1752</v>
      </c>
      <c r="B76" s="1" t="s">
        <v>1957</v>
      </c>
      <c r="C76" s="1" t="s">
        <v>2049</v>
      </c>
      <c r="D76" s="1" t="s">
        <v>1967</v>
      </c>
      <c r="E76" s="1" t="s">
        <v>88</v>
      </c>
      <c r="F76" s="1" t="s">
        <v>1013</v>
      </c>
      <c r="K76" s="1" t="s">
        <v>1942</v>
      </c>
      <c r="M76" s="1" t="s">
        <v>1917</v>
      </c>
      <c r="O76" s="5" t="s">
        <v>2390</v>
      </c>
      <c r="P76" s="1" t="s">
        <v>2218</v>
      </c>
      <c r="Q76" s="1">
        <v>75</v>
      </c>
      <c r="R76" s="1">
        <f t="shared" si="2"/>
        <v>1</v>
      </c>
    </row>
    <row r="77" spans="1:18" ht="31.2">
      <c r="A77" s="1" t="s">
        <v>1752</v>
      </c>
      <c r="B77" s="1" t="s">
        <v>1957</v>
      </c>
      <c r="C77" s="1" t="s">
        <v>2049</v>
      </c>
      <c r="D77" s="1" t="s">
        <v>1968</v>
      </c>
      <c r="E77" s="1" t="s">
        <v>768</v>
      </c>
      <c r="F77" s="1" t="s">
        <v>1049</v>
      </c>
      <c r="K77" s="1" t="s">
        <v>2514</v>
      </c>
      <c r="L77" s="1" t="s">
        <v>2548</v>
      </c>
      <c r="M77" s="1" t="s">
        <v>1906</v>
      </c>
      <c r="O77" s="5" t="s">
        <v>2391</v>
      </c>
      <c r="P77" s="1" t="s">
        <v>1998</v>
      </c>
      <c r="Q77" s="1">
        <v>76</v>
      </c>
      <c r="R77" s="1">
        <f t="shared" si="2"/>
        <v>1</v>
      </c>
    </row>
    <row r="78" spans="1:18" ht="31.2">
      <c r="A78" s="1" t="s">
        <v>1752</v>
      </c>
      <c r="B78" s="1" t="s">
        <v>1957</v>
      </c>
      <c r="C78" s="1" t="s">
        <v>2049</v>
      </c>
      <c r="D78" s="1" t="s">
        <v>1969</v>
      </c>
      <c r="E78" s="1" t="s">
        <v>767</v>
      </c>
      <c r="F78" s="1" t="s">
        <v>1068</v>
      </c>
      <c r="K78" s="1" t="s">
        <v>2514</v>
      </c>
      <c r="L78" s="1" t="s">
        <v>2548</v>
      </c>
      <c r="M78" s="1" t="s">
        <v>1926</v>
      </c>
      <c r="O78" s="5" t="s">
        <v>2392</v>
      </c>
      <c r="P78" s="1" t="s">
        <v>2214</v>
      </c>
      <c r="Q78" s="1">
        <v>77</v>
      </c>
      <c r="R78" s="1">
        <f t="shared" si="2"/>
        <v>1</v>
      </c>
    </row>
    <row r="79" spans="1:18" ht="31.2">
      <c r="A79" s="1" t="s">
        <v>1752</v>
      </c>
      <c r="B79" s="1" t="s">
        <v>1958</v>
      </c>
      <c r="D79" s="1" t="s">
        <v>1766</v>
      </c>
      <c r="E79" s="1" t="s">
        <v>409</v>
      </c>
      <c r="F79" s="1" t="s">
        <v>2009</v>
      </c>
      <c r="K79" s="1" t="s">
        <v>2501</v>
      </c>
      <c r="M79" s="1" t="s">
        <v>2465</v>
      </c>
      <c r="O79" s="5" t="s">
        <v>2342</v>
      </c>
      <c r="P79" s="1" t="s">
        <v>2245</v>
      </c>
      <c r="Q79" s="1">
        <v>78</v>
      </c>
      <c r="R79" s="1">
        <f t="shared" si="2"/>
        <v>1</v>
      </c>
    </row>
    <row r="80" spans="1:18" ht="46.8">
      <c r="A80" s="1" t="s">
        <v>1752</v>
      </c>
      <c r="B80" s="1" t="s">
        <v>1958</v>
      </c>
      <c r="D80" s="1" t="s">
        <v>2610</v>
      </c>
      <c r="E80" s="1" t="s">
        <v>410</v>
      </c>
      <c r="F80" s="1" t="s">
        <v>2291</v>
      </c>
      <c r="G80" s="1" t="s">
        <v>1067</v>
      </c>
      <c r="K80" s="1" t="s">
        <v>2514</v>
      </c>
      <c r="L80" s="1" t="s">
        <v>1919</v>
      </c>
      <c r="M80" s="1" t="s">
        <v>2513</v>
      </c>
      <c r="O80" s="5" t="s">
        <v>2393</v>
      </c>
      <c r="P80" s="1" t="s">
        <v>2215</v>
      </c>
      <c r="Q80" s="1">
        <v>79</v>
      </c>
      <c r="R80" s="1">
        <f t="shared" si="2"/>
        <v>1</v>
      </c>
    </row>
    <row r="81" spans="1:18" ht="31.2">
      <c r="A81" s="1" t="s">
        <v>1752</v>
      </c>
      <c r="B81" s="1" t="s">
        <v>1958</v>
      </c>
      <c r="D81" s="1" t="s">
        <v>2611</v>
      </c>
      <c r="E81" s="1" t="s">
        <v>133</v>
      </c>
      <c r="F81" s="1" t="s">
        <v>2294</v>
      </c>
      <c r="G81" s="1" t="s">
        <v>2295</v>
      </c>
      <c r="K81" s="1" t="s">
        <v>2514</v>
      </c>
      <c r="L81" s="1" t="s">
        <v>1918</v>
      </c>
      <c r="M81" s="1" t="s">
        <v>2460</v>
      </c>
      <c r="O81" s="5" t="s">
        <v>2394</v>
      </c>
      <c r="P81" s="1" t="s">
        <v>1993</v>
      </c>
      <c r="Q81" s="1">
        <v>80</v>
      </c>
      <c r="R81" s="1">
        <f t="shared" si="2"/>
        <v>1</v>
      </c>
    </row>
    <row r="82" spans="1:18" ht="31.2">
      <c r="A82" s="1" t="s">
        <v>1752</v>
      </c>
      <c r="B82" s="1" t="s">
        <v>1958</v>
      </c>
      <c r="D82" s="1" t="s">
        <v>2609</v>
      </c>
      <c r="E82" s="1" t="s">
        <v>134</v>
      </c>
      <c r="F82" s="1" t="s">
        <v>2003</v>
      </c>
      <c r="L82" s="1" t="s">
        <v>2553</v>
      </c>
      <c r="M82" s="1" t="s">
        <v>2474</v>
      </c>
      <c r="O82" s="5" t="s">
        <v>2395</v>
      </c>
      <c r="P82" s="1" t="s">
        <v>2198</v>
      </c>
      <c r="Q82" s="1">
        <v>81</v>
      </c>
      <c r="R82" s="1">
        <f t="shared" si="2"/>
        <v>1</v>
      </c>
    </row>
    <row r="83" spans="1:18" ht="34.799999999999997">
      <c r="A83" s="1" t="s">
        <v>1752</v>
      </c>
      <c r="B83" s="1" t="s">
        <v>1958</v>
      </c>
      <c r="D83" s="1" t="s">
        <v>2612</v>
      </c>
      <c r="F83" s="1" t="s">
        <v>1031</v>
      </c>
      <c r="K83" s="1" t="s">
        <v>2556</v>
      </c>
      <c r="L83" s="1" t="s">
        <v>2562</v>
      </c>
      <c r="M83" s="2" t="s">
        <v>2516</v>
      </c>
      <c r="O83" s="5" t="s">
        <v>2343</v>
      </c>
      <c r="P83" s="1" t="s">
        <v>1992</v>
      </c>
      <c r="Q83" s="1">
        <v>82</v>
      </c>
      <c r="R83" s="1">
        <f t="shared" si="2"/>
        <v>1</v>
      </c>
    </row>
    <row r="84" spans="1:18" ht="31.2">
      <c r="A84" s="1" t="s">
        <v>1752</v>
      </c>
      <c r="B84" s="1" t="s">
        <v>1958</v>
      </c>
      <c r="D84" s="1" t="s">
        <v>2613</v>
      </c>
      <c r="F84" s="1" t="s">
        <v>2007</v>
      </c>
      <c r="H84" s="1" t="s">
        <v>2006</v>
      </c>
      <c r="K84" s="1" t="s">
        <v>2514</v>
      </c>
      <c r="L84" s="1" t="s">
        <v>2563</v>
      </c>
      <c r="M84" s="1" t="s">
        <v>2517</v>
      </c>
      <c r="O84" s="5" t="s">
        <v>2396</v>
      </c>
      <c r="Q84" s="1">
        <v>83</v>
      </c>
      <c r="R84" s="1">
        <f t="shared" si="2"/>
        <v>1</v>
      </c>
    </row>
    <row r="85" spans="1:18" ht="31.2">
      <c r="A85" s="1" t="s">
        <v>1752</v>
      </c>
      <c r="B85" s="1" t="s">
        <v>1754</v>
      </c>
      <c r="C85" s="1" t="s">
        <v>544</v>
      </c>
      <c r="D85" s="1" t="s">
        <v>1962</v>
      </c>
      <c r="F85" s="1" t="s">
        <v>1004</v>
      </c>
      <c r="L85" s="1" t="s">
        <v>2564</v>
      </c>
      <c r="M85" s="1" t="s">
        <v>2461</v>
      </c>
      <c r="O85" s="5" t="s">
        <v>2397</v>
      </c>
      <c r="P85" s="1" t="s">
        <v>2219</v>
      </c>
      <c r="Q85" s="1">
        <v>84</v>
      </c>
      <c r="R85" s="1">
        <f t="shared" si="2"/>
        <v>1</v>
      </c>
    </row>
    <row r="86" spans="1:18" ht="31.2">
      <c r="A86" s="1" t="s">
        <v>1752</v>
      </c>
      <c r="B86" s="1" t="s">
        <v>1754</v>
      </c>
      <c r="C86" s="1" t="s">
        <v>544</v>
      </c>
      <c r="D86" s="1" t="s">
        <v>2021</v>
      </c>
      <c r="F86" s="1" t="s">
        <v>1005</v>
      </c>
      <c r="K86" s="1" t="s">
        <v>2522</v>
      </c>
      <c r="L86" s="1" t="s">
        <v>2562</v>
      </c>
      <c r="M86" s="1" t="s">
        <v>2474</v>
      </c>
      <c r="O86" s="5" t="s">
        <v>2344</v>
      </c>
      <c r="P86" s="1" t="s">
        <v>2106</v>
      </c>
      <c r="Q86" s="1">
        <v>85</v>
      </c>
      <c r="R86" s="1">
        <f t="shared" si="2"/>
        <v>1</v>
      </c>
    </row>
    <row r="87" spans="1:18" ht="31.2">
      <c r="A87" s="1" t="s">
        <v>1752</v>
      </c>
      <c r="B87" s="1" t="s">
        <v>1754</v>
      </c>
      <c r="C87" s="1" t="s">
        <v>544</v>
      </c>
      <c r="D87" s="1" t="s">
        <v>2022</v>
      </c>
      <c r="F87" s="1" t="s">
        <v>2014</v>
      </c>
      <c r="L87" s="1" t="s">
        <v>2559</v>
      </c>
      <c r="M87" s="1" t="s">
        <v>1917</v>
      </c>
      <c r="O87" s="5" t="s">
        <v>2398</v>
      </c>
      <c r="P87" s="1" t="s">
        <v>2100</v>
      </c>
      <c r="Q87" s="1">
        <v>86</v>
      </c>
      <c r="R87" s="1">
        <f t="shared" si="2"/>
        <v>1</v>
      </c>
    </row>
    <row r="88" spans="1:18" ht="31.2">
      <c r="A88" s="1" t="s">
        <v>1752</v>
      </c>
      <c r="B88" s="1" t="s">
        <v>1754</v>
      </c>
      <c r="C88" s="1" t="s">
        <v>145</v>
      </c>
      <c r="D88" s="1" t="s">
        <v>2022</v>
      </c>
      <c r="F88" s="1" t="s">
        <v>2016</v>
      </c>
      <c r="K88" s="1" t="s">
        <v>2514</v>
      </c>
      <c r="L88" s="1" t="s">
        <v>2548</v>
      </c>
      <c r="M88" s="1" t="s">
        <v>2518</v>
      </c>
      <c r="O88" s="5" t="s">
        <v>2399</v>
      </c>
      <c r="P88" s="1" t="s">
        <v>2085</v>
      </c>
      <c r="Q88" s="1">
        <v>87</v>
      </c>
      <c r="R88" s="1">
        <f t="shared" si="2"/>
        <v>1</v>
      </c>
    </row>
    <row r="89" spans="1:18">
      <c r="A89" s="1" t="s">
        <v>1752</v>
      </c>
      <c r="B89" s="1" t="s">
        <v>1754</v>
      </c>
      <c r="C89" s="1" t="s">
        <v>145</v>
      </c>
      <c r="D89" s="1" t="s">
        <v>2023</v>
      </c>
      <c r="F89" s="1" t="s">
        <v>2018</v>
      </c>
      <c r="K89" s="1" t="s">
        <v>2514</v>
      </c>
      <c r="L89" s="1" t="s">
        <v>2548</v>
      </c>
      <c r="M89" s="1" t="s">
        <v>2470</v>
      </c>
      <c r="O89" s="5" t="s">
        <v>2400</v>
      </c>
      <c r="P89" s="1" t="s">
        <v>2192</v>
      </c>
      <c r="Q89" s="1">
        <v>88</v>
      </c>
      <c r="R89" s="1">
        <f t="shared" si="2"/>
        <v>1</v>
      </c>
    </row>
    <row r="90" spans="1:18" ht="31.2">
      <c r="A90" s="1" t="s">
        <v>1752</v>
      </c>
      <c r="B90" s="1" t="s">
        <v>1754</v>
      </c>
      <c r="C90" s="1" t="s">
        <v>145</v>
      </c>
      <c r="D90" s="1" t="s">
        <v>2024</v>
      </c>
      <c r="F90" s="1" t="s">
        <v>1111</v>
      </c>
      <c r="K90" s="1" t="s">
        <v>2501</v>
      </c>
      <c r="M90" s="1" t="s">
        <v>2465</v>
      </c>
      <c r="O90" s="5" t="s">
        <v>2401</v>
      </c>
      <c r="P90" s="1" t="s">
        <v>2237</v>
      </c>
      <c r="Q90" s="1">
        <v>89</v>
      </c>
      <c r="R90" s="1">
        <f t="shared" si="2"/>
        <v>1</v>
      </c>
    </row>
    <row r="91" spans="1:18" ht="31.2">
      <c r="A91" s="1" t="s">
        <v>1752</v>
      </c>
      <c r="B91" s="1" t="s">
        <v>1754</v>
      </c>
      <c r="C91" s="1" t="s">
        <v>145</v>
      </c>
      <c r="D91" s="1" t="s">
        <v>2025</v>
      </c>
      <c r="F91" s="1" t="s">
        <v>1006</v>
      </c>
      <c r="K91" s="1" t="s">
        <v>2514</v>
      </c>
      <c r="L91" s="1" t="s">
        <v>2548</v>
      </c>
      <c r="M91" s="1" t="s">
        <v>2519</v>
      </c>
      <c r="O91" s="5" t="s">
        <v>2402</v>
      </c>
      <c r="P91" s="1" t="s">
        <v>2126</v>
      </c>
      <c r="Q91" s="1">
        <v>90</v>
      </c>
      <c r="R91" s="1">
        <f t="shared" si="2"/>
        <v>1</v>
      </c>
    </row>
    <row r="92" spans="1:18" ht="31.2">
      <c r="A92" s="1" t="s">
        <v>1755</v>
      </c>
      <c r="B92" s="1" t="s">
        <v>2058</v>
      </c>
      <c r="D92" s="1" t="s">
        <v>1719</v>
      </c>
      <c r="F92" s="1" t="s">
        <v>1082</v>
      </c>
      <c r="L92" s="1" t="s">
        <v>1919</v>
      </c>
      <c r="M92" s="1" t="s">
        <v>1917</v>
      </c>
      <c r="O92" s="5" t="s">
        <v>2403</v>
      </c>
      <c r="Q92" s="1">
        <v>91</v>
      </c>
      <c r="R92" s="1">
        <f t="shared" si="2"/>
        <v>6</v>
      </c>
    </row>
    <row r="93" spans="1:18" ht="31.2">
      <c r="A93" s="1" t="s">
        <v>1755</v>
      </c>
      <c r="B93" s="1" t="s">
        <v>2058</v>
      </c>
      <c r="D93" s="1" t="s">
        <v>2027</v>
      </c>
      <c r="F93" s="1" t="s">
        <v>1088</v>
      </c>
      <c r="K93" s="1" t="s">
        <v>2521</v>
      </c>
      <c r="M93" s="1" t="s">
        <v>2520</v>
      </c>
      <c r="O93" s="5" t="s">
        <v>2404</v>
      </c>
      <c r="P93" s="1" t="s">
        <v>1970</v>
      </c>
      <c r="Q93" s="1">
        <v>92</v>
      </c>
      <c r="R93" s="1">
        <f t="shared" si="2"/>
        <v>2</v>
      </c>
    </row>
    <row r="94" spans="1:18" ht="31.2">
      <c r="A94" s="1" t="s">
        <v>1755</v>
      </c>
      <c r="B94" s="1" t="s">
        <v>2058</v>
      </c>
      <c r="D94" s="1" t="s">
        <v>132</v>
      </c>
      <c r="F94" s="1" t="s">
        <v>1024</v>
      </c>
      <c r="K94" s="1" t="s">
        <v>2522</v>
      </c>
      <c r="L94" s="1" t="s">
        <v>2553</v>
      </c>
      <c r="M94" s="1" t="s">
        <v>2523</v>
      </c>
      <c r="O94" s="5" t="s">
        <v>2345</v>
      </c>
      <c r="Q94" s="1">
        <v>93</v>
      </c>
      <c r="R94" s="1">
        <f t="shared" si="2"/>
        <v>5</v>
      </c>
    </row>
    <row r="95" spans="1:18" ht="31.2">
      <c r="A95" s="1" t="s">
        <v>1755</v>
      </c>
      <c r="B95" s="1" t="s">
        <v>2058</v>
      </c>
      <c r="D95" s="1" t="s">
        <v>2063</v>
      </c>
      <c r="F95" s="1" t="s">
        <v>1061</v>
      </c>
      <c r="K95" s="1" t="s">
        <v>2565</v>
      </c>
      <c r="M95" s="1" t="s">
        <v>2527</v>
      </c>
      <c r="O95" s="5" t="s">
        <v>2405</v>
      </c>
      <c r="P95" s="1" t="s">
        <v>1973</v>
      </c>
      <c r="Q95" s="1">
        <v>94</v>
      </c>
      <c r="R95" s="1">
        <f t="shared" si="2"/>
        <v>3</v>
      </c>
    </row>
    <row r="96" spans="1:18" ht="31.2">
      <c r="A96" s="1" t="s">
        <v>1755</v>
      </c>
      <c r="B96" s="1" t="s">
        <v>2059</v>
      </c>
      <c r="C96" s="1" t="s">
        <v>2118</v>
      </c>
      <c r="D96" s="1" t="s">
        <v>2135</v>
      </c>
      <c r="F96" s="1" t="s">
        <v>2087</v>
      </c>
      <c r="K96" s="1" t="s">
        <v>2556</v>
      </c>
      <c r="L96" s="1" t="s">
        <v>2566</v>
      </c>
      <c r="M96" s="1" t="s">
        <v>2524</v>
      </c>
      <c r="O96" s="5" t="s">
        <v>2406</v>
      </c>
      <c r="P96" s="1" t="s">
        <v>2108</v>
      </c>
      <c r="Q96" s="1">
        <v>95</v>
      </c>
      <c r="R96" s="1">
        <f t="shared" si="2"/>
        <v>1</v>
      </c>
    </row>
    <row r="97" spans="1:18" ht="31.2">
      <c r="A97" s="1" t="s">
        <v>1755</v>
      </c>
      <c r="B97" s="1" t="s">
        <v>2059</v>
      </c>
      <c r="C97" s="1" t="s">
        <v>409</v>
      </c>
      <c r="D97" s="1" t="s">
        <v>587</v>
      </c>
      <c r="E97" s="1" t="s">
        <v>1411</v>
      </c>
      <c r="F97" s="1" t="s">
        <v>2134</v>
      </c>
      <c r="H97" s="1" t="s">
        <v>2088</v>
      </c>
      <c r="K97" s="1" t="s">
        <v>2514</v>
      </c>
      <c r="L97" s="1" t="s">
        <v>2563</v>
      </c>
      <c r="M97" s="1" t="s">
        <v>2525</v>
      </c>
      <c r="O97" s="5" t="s">
        <v>2407</v>
      </c>
      <c r="P97" s="1" t="s">
        <v>2233</v>
      </c>
      <c r="Q97" s="1">
        <v>96</v>
      </c>
      <c r="R97" s="1">
        <f t="shared" si="2"/>
        <v>1</v>
      </c>
    </row>
    <row r="98" spans="1:18" ht="31.2">
      <c r="A98" s="1" t="s">
        <v>1755</v>
      </c>
      <c r="B98" s="1" t="s">
        <v>2059</v>
      </c>
      <c r="C98" s="1" t="s">
        <v>410</v>
      </c>
      <c r="D98" s="1" t="s">
        <v>2064</v>
      </c>
      <c r="F98" s="1" t="s">
        <v>1116</v>
      </c>
      <c r="L98" s="1" t="s">
        <v>2553</v>
      </c>
      <c r="M98" s="1" t="s">
        <v>2473</v>
      </c>
      <c r="O98" s="5" t="s">
        <v>2408</v>
      </c>
      <c r="P98" s="1" t="s">
        <v>2231</v>
      </c>
      <c r="Q98" s="1">
        <v>97</v>
      </c>
      <c r="R98" s="1">
        <f t="shared" ref="R98:R123" si="3">COUNTIF(F:H,F98)</f>
        <v>2</v>
      </c>
    </row>
    <row r="99" spans="1:18" ht="31.2">
      <c r="A99" s="1" t="s">
        <v>1755</v>
      </c>
      <c r="B99" s="1" t="s">
        <v>2059</v>
      </c>
      <c r="C99" s="1" t="s">
        <v>410</v>
      </c>
      <c r="D99" s="1" t="s">
        <v>2065</v>
      </c>
      <c r="F99" s="1" t="s">
        <v>2133</v>
      </c>
      <c r="G99" s="1" t="s">
        <v>1119</v>
      </c>
      <c r="L99" s="1" t="s">
        <v>2567</v>
      </c>
      <c r="M99" s="1" t="s">
        <v>2526</v>
      </c>
      <c r="O99" s="5" t="s">
        <v>2409</v>
      </c>
      <c r="P99" s="1" t="s">
        <v>2235</v>
      </c>
      <c r="Q99" s="1">
        <v>98</v>
      </c>
      <c r="R99" s="1">
        <f t="shared" si="3"/>
        <v>1</v>
      </c>
    </row>
    <row r="100" spans="1:18" ht="31.2">
      <c r="A100" s="1" t="s">
        <v>1755</v>
      </c>
      <c r="B100" s="1" t="s">
        <v>2059</v>
      </c>
      <c r="C100" s="1" t="s">
        <v>410</v>
      </c>
      <c r="D100" s="1" t="s">
        <v>2066</v>
      </c>
      <c r="F100" s="1" t="s">
        <v>1046</v>
      </c>
      <c r="L100" s="1" t="s">
        <v>2568</v>
      </c>
      <c r="M100" s="1" t="s">
        <v>2523</v>
      </c>
      <c r="O100" s="5" t="s">
        <v>2410</v>
      </c>
      <c r="P100" s="1" t="s">
        <v>2005</v>
      </c>
      <c r="Q100" s="1">
        <v>99</v>
      </c>
      <c r="R100" s="1">
        <f t="shared" si="3"/>
        <v>1</v>
      </c>
    </row>
    <row r="101" spans="1:18" ht="31.2">
      <c r="A101" s="1" t="s">
        <v>1755</v>
      </c>
      <c r="B101" s="1" t="s">
        <v>2113</v>
      </c>
      <c r="C101" s="1" t="s">
        <v>88</v>
      </c>
      <c r="D101" s="1" t="s">
        <v>2119</v>
      </c>
      <c r="F101" s="1" t="s">
        <v>1594</v>
      </c>
      <c r="G101" s="1" t="s">
        <v>2300</v>
      </c>
      <c r="L101" s="1" t="s">
        <v>2569</v>
      </c>
      <c r="M101" s="1" t="s">
        <v>1917</v>
      </c>
      <c r="O101" s="5" t="s">
        <v>2411</v>
      </c>
      <c r="Q101" s="1">
        <v>100</v>
      </c>
      <c r="R101" s="1">
        <f t="shared" si="3"/>
        <v>6</v>
      </c>
    </row>
    <row r="102" spans="1:18" ht="31.2">
      <c r="A102" s="1" t="s">
        <v>1755</v>
      </c>
      <c r="B102" s="1" t="s">
        <v>2113</v>
      </c>
      <c r="C102" s="1" t="s">
        <v>184</v>
      </c>
      <c r="D102" s="1" t="s">
        <v>2120</v>
      </c>
      <c r="F102" s="1" t="s">
        <v>2127</v>
      </c>
      <c r="K102" s="1" t="s">
        <v>2528</v>
      </c>
      <c r="M102" s="1" t="s">
        <v>2510</v>
      </c>
      <c r="O102" s="5" t="s">
        <v>2412</v>
      </c>
      <c r="P102" s="1" t="s">
        <v>2011</v>
      </c>
      <c r="Q102" s="1">
        <v>101</v>
      </c>
      <c r="R102" s="1">
        <f t="shared" si="3"/>
        <v>1</v>
      </c>
    </row>
    <row r="103" spans="1:18" ht="31.2">
      <c r="A103" s="1" t="s">
        <v>1755</v>
      </c>
      <c r="B103" s="1" t="s">
        <v>2113</v>
      </c>
      <c r="C103" s="1" t="s">
        <v>133</v>
      </c>
      <c r="D103" s="1" t="s">
        <v>2121</v>
      </c>
      <c r="F103" s="1" t="s">
        <v>2129</v>
      </c>
      <c r="L103" s="1" t="s">
        <v>1918</v>
      </c>
      <c r="M103" s="1" t="s">
        <v>2529</v>
      </c>
      <c r="O103" s="5" t="s">
        <v>2413</v>
      </c>
      <c r="Q103" s="1">
        <v>102</v>
      </c>
      <c r="R103" s="1">
        <f t="shared" si="3"/>
        <v>2</v>
      </c>
    </row>
    <row r="104" spans="1:18" ht="31.2">
      <c r="A104" s="1" t="s">
        <v>1755</v>
      </c>
      <c r="B104" s="1" t="s">
        <v>2113</v>
      </c>
      <c r="C104" s="1" t="s">
        <v>134</v>
      </c>
      <c r="D104" s="1" t="s">
        <v>2122</v>
      </c>
      <c r="F104" s="1" t="s">
        <v>2299</v>
      </c>
      <c r="G104" s="1" t="s">
        <v>1116</v>
      </c>
      <c r="K104" s="1" t="s">
        <v>2530</v>
      </c>
      <c r="M104" s="1" t="s">
        <v>2473</v>
      </c>
      <c r="O104" s="5" t="s">
        <v>2346</v>
      </c>
      <c r="P104" s="1" t="s">
        <v>2247</v>
      </c>
      <c r="Q104" s="1">
        <v>103</v>
      </c>
      <c r="R104" s="1">
        <f t="shared" si="3"/>
        <v>1</v>
      </c>
    </row>
    <row r="105" spans="1:18" ht="31.2">
      <c r="A105" s="1" t="s">
        <v>1755</v>
      </c>
      <c r="B105" s="1" t="s">
        <v>2113</v>
      </c>
      <c r="C105" s="1" t="s">
        <v>410</v>
      </c>
      <c r="D105" s="1" t="s">
        <v>2123</v>
      </c>
      <c r="F105" s="1" t="s">
        <v>1645</v>
      </c>
      <c r="G105" s="1" t="s">
        <v>2140</v>
      </c>
      <c r="K105" s="2" t="s">
        <v>2607</v>
      </c>
      <c r="L105" s="2" t="s">
        <v>2580</v>
      </c>
      <c r="M105" s="1" t="s">
        <v>2463</v>
      </c>
      <c r="O105" s="5" t="s">
        <v>2414</v>
      </c>
      <c r="Q105" s="1">
        <v>104</v>
      </c>
      <c r="R105" s="1">
        <f t="shared" si="3"/>
        <v>3</v>
      </c>
    </row>
    <row r="106" spans="1:18" ht="31.2">
      <c r="A106" s="1" t="s">
        <v>1755</v>
      </c>
      <c r="B106" s="1" t="s">
        <v>2113</v>
      </c>
      <c r="C106" s="1" t="s">
        <v>409</v>
      </c>
      <c r="D106" s="1" t="s">
        <v>2124</v>
      </c>
      <c r="F106" s="1" t="s">
        <v>1641</v>
      </c>
      <c r="G106" s="1" t="s">
        <v>1057</v>
      </c>
      <c r="K106" s="2" t="s">
        <v>2590</v>
      </c>
      <c r="L106" s="2" t="s">
        <v>2591</v>
      </c>
      <c r="M106" s="1" t="s">
        <v>2531</v>
      </c>
      <c r="O106" s="5" t="s">
        <v>2347</v>
      </c>
      <c r="P106" s="1" t="s">
        <v>1975</v>
      </c>
      <c r="Q106" s="1">
        <v>105</v>
      </c>
      <c r="R106" s="1">
        <f t="shared" si="3"/>
        <v>3</v>
      </c>
    </row>
    <row r="107" spans="1:18">
      <c r="A107" s="1" t="s">
        <v>1755</v>
      </c>
      <c r="B107" s="1" t="s">
        <v>1776</v>
      </c>
      <c r="C107" s="1" t="s">
        <v>1759</v>
      </c>
      <c r="D107" s="1" t="s">
        <v>2143</v>
      </c>
      <c r="F107" s="1" t="s">
        <v>1704</v>
      </c>
      <c r="L107" s="1" t="s">
        <v>1919</v>
      </c>
      <c r="M107" s="1" t="s">
        <v>2532</v>
      </c>
      <c r="O107" s="5" t="s">
        <v>2415</v>
      </c>
      <c r="P107" s="1" t="s">
        <v>2008</v>
      </c>
      <c r="Q107" s="1">
        <v>106</v>
      </c>
      <c r="R107" s="1">
        <f t="shared" si="3"/>
        <v>1</v>
      </c>
    </row>
    <row r="108" spans="1:18" ht="31.2">
      <c r="A108" s="1" t="s">
        <v>1755</v>
      </c>
      <c r="B108" s="1" t="s">
        <v>1776</v>
      </c>
      <c r="C108" s="1" t="s">
        <v>1759</v>
      </c>
      <c r="D108" s="1" t="s">
        <v>2144</v>
      </c>
      <c r="F108" s="1" t="s">
        <v>2061</v>
      </c>
      <c r="H108" s="1" t="s">
        <v>2090</v>
      </c>
      <c r="K108" s="1" t="s">
        <v>2587</v>
      </c>
      <c r="L108" s="1" t="s">
        <v>1915</v>
      </c>
      <c r="M108" s="1" t="s">
        <v>1903</v>
      </c>
      <c r="O108" s="5" t="s">
        <v>2416</v>
      </c>
      <c r="P108" s="1" t="s">
        <v>2228</v>
      </c>
      <c r="Q108" s="1">
        <v>107</v>
      </c>
      <c r="R108" s="1">
        <f t="shared" si="3"/>
        <v>1</v>
      </c>
    </row>
    <row r="109" spans="1:18">
      <c r="A109" s="1" t="s">
        <v>1755</v>
      </c>
      <c r="B109" s="1" t="s">
        <v>1776</v>
      </c>
      <c r="C109" s="1" t="s">
        <v>1759</v>
      </c>
      <c r="D109" s="1" t="s">
        <v>2145</v>
      </c>
      <c r="F109" s="1" t="s">
        <v>1128</v>
      </c>
      <c r="K109" s="1" t="s">
        <v>1918</v>
      </c>
      <c r="M109" s="1" t="s">
        <v>2533</v>
      </c>
      <c r="O109" s="5" t="s">
        <v>2417</v>
      </c>
      <c r="P109" s="1" t="s">
        <v>2109</v>
      </c>
      <c r="Q109" s="1">
        <v>108</v>
      </c>
      <c r="R109" s="1">
        <f t="shared" si="3"/>
        <v>1</v>
      </c>
    </row>
    <row r="110" spans="1:18" ht="31.2">
      <c r="A110" s="1" t="s">
        <v>1755</v>
      </c>
      <c r="B110" s="1" t="s">
        <v>1776</v>
      </c>
      <c r="C110" s="1" t="s">
        <v>1778</v>
      </c>
      <c r="D110" s="1" t="s">
        <v>2146</v>
      </c>
      <c r="F110" s="1" t="s">
        <v>1106</v>
      </c>
      <c r="H110" s="1" t="s">
        <v>2092</v>
      </c>
      <c r="K110" s="1" t="s">
        <v>2522</v>
      </c>
      <c r="L110" s="1" t="s">
        <v>2552</v>
      </c>
      <c r="M110" s="1" t="s">
        <v>2473</v>
      </c>
      <c r="O110" s="5" t="s">
        <v>2418</v>
      </c>
      <c r="Q110" s="1">
        <v>109</v>
      </c>
      <c r="R110" s="1">
        <f t="shared" si="3"/>
        <v>3</v>
      </c>
    </row>
    <row r="111" spans="1:18">
      <c r="A111" s="1" t="s">
        <v>1755</v>
      </c>
      <c r="B111" s="1" t="s">
        <v>1776</v>
      </c>
      <c r="C111" s="1" t="s">
        <v>1778</v>
      </c>
      <c r="D111" s="1" t="s">
        <v>2147</v>
      </c>
      <c r="F111" s="1" t="s">
        <v>1136</v>
      </c>
      <c r="H111" s="1" t="s">
        <v>2093</v>
      </c>
      <c r="L111" s="1" t="s">
        <v>1918</v>
      </c>
      <c r="M111" s="1" t="s">
        <v>2534</v>
      </c>
      <c r="O111" s="5" t="s">
        <v>2419</v>
      </c>
      <c r="Q111" s="1">
        <v>110</v>
      </c>
      <c r="R111" s="1">
        <f t="shared" si="3"/>
        <v>3</v>
      </c>
    </row>
    <row r="112" spans="1:18" ht="31.2">
      <c r="A112" s="1" t="s">
        <v>1755</v>
      </c>
      <c r="B112" s="1" t="s">
        <v>1776</v>
      </c>
      <c r="C112" s="1" t="s">
        <v>1778</v>
      </c>
      <c r="D112" s="1" t="s">
        <v>2026</v>
      </c>
      <c r="F112" s="1" t="s">
        <v>1848</v>
      </c>
      <c r="K112" s="2" t="s">
        <v>2592</v>
      </c>
      <c r="L112" s="2" t="s">
        <v>1919</v>
      </c>
      <c r="M112" s="1" t="s">
        <v>2535</v>
      </c>
      <c r="O112" s="5" t="s">
        <v>2420</v>
      </c>
      <c r="Q112" s="1">
        <v>111</v>
      </c>
      <c r="R112" s="1">
        <f t="shared" si="3"/>
        <v>2</v>
      </c>
    </row>
    <row r="113" spans="1:18" ht="31.2">
      <c r="A113" s="1" t="s">
        <v>1755</v>
      </c>
      <c r="B113" s="1" t="s">
        <v>1776</v>
      </c>
      <c r="C113" s="1" t="s">
        <v>1778</v>
      </c>
      <c r="D113" s="1" t="s">
        <v>2057</v>
      </c>
      <c r="E113" s="1" t="s">
        <v>2149</v>
      </c>
      <c r="F113" s="1" t="s">
        <v>2096</v>
      </c>
      <c r="K113" s="1" t="s">
        <v>2514</v>
      </c>
      <c r="L113" s="1" t="s">
        <v>1919</v>
      </c>
      <c r="M113" s="1" t="s">
        <v>1906</v>
      </c>
      <c r="O113" s="5" t="s">
        <v>2421</v>
      </c>
      <c r="P113" s="1" t="s">
        <v>2130</v>
      </c>
      <c r="Q113" s="1">
        <v>112</v>
      </c>
      <c r="R113" s="1">
        <f t="shared" si="3"/>
        <v>1</v>
      </c>
    </row>
    <row r="114" spans="1:18">
      <c r="A114" s="1" t="s">
        <v>1755</v>
      </c>
      <c r="B114" s="1" t="s">
        <v>1776</v>
      </c>
      <c r="C114" s="1" t="s">
        <v>1778</v>
      </c>
      <c r="D114" s="1" t="s">
        <v>2148</v>
      </c>
      <c r="E114" s="1" t="s">
        <v>1683</v>
      </c>
      <c r="F114" s="1" t="s">
        <v>2098</v>
      </c>
      <c r="H114" s="1" t="s">
        <v>2097</v>
      </c>
      <c r="K114" s="1" t="s">
        <v>2522</v>
      </c>
      <c r="L114" s="1" t="s">
        <v>2593</v>
      </c>
      <c r="M114" s="1" t="s">
        <v>2477</v>
      </c>
      <c r="O114" s="5" t="s">
        <v>2422</v>
      </c>
      <c r="P114" s="1" t="s">
        <v>2010</v>
      </c>
      <c r="Q114" s="1">
        <v>113</v>
      </c>
      <c r="R114" s="1">
        <f t="shared" si="3"/>
        <v>1</v>
      </c>
    </row>
    <row r="115" spans="1:18" ht="31.2">
      <c r="A115" s="1" t="s">
        <v>1755</v>
      </c>
      <c r="B115" s="1" t="s">
        <v>2060</v>
      </c>
      <c r="D115" s="1" t="s">
        <v>2067</v>
      </c>
      <c r="F115" s="1" t="s">
        <v>1712</v>
      </c>
      <c r="K115" s="1" t="s">
        <v>2522</v>
      </c>
      <c r="L115" s="1" t="s">
        <v>2552</v>
      </c>
      <c r="M115" s="1" t="s">
        <v>2536</v>
      </c>
      <c r="O115" s="5" t="s">
        <v>2423</v>
      </c>
      <c r="Q115" s="1">
        <v>114</v>
      </c>
      <c r="R115" s="1">
        <f t="shared" si="3"/>
        <v>3</v>
      </c>
    </row>
    <row r="116" spans="1:18" ht="31.2">
      <c r="A116" s="1" t="s">
        <v>1755</v>
      </c>
      <c r="B116" s="1" t="s">
        <v>2060</v>
      </c>
      <c r="D116" s="1" t="s">
        <v>2068</v>
      </c>
      <c r="F116" s="1" t="s">
        <v>1136</v>
      </c>
      <c r="L116" s="1" t="s">
        <v>1918</v>
      </c>
      <c r="M116" s="1" t="s">
        <v>2537</v>
      </c>
      <c r="O116" s="5" t="s">
        <v>2424</v>
      </c>
      <c r="Q116" s="1">
        <v>115</v>
      </c>
      <c r="R116" s="1">
        <f t="shared" si="3"/>
        <v>3</v>
      </c>
    </row>
    <row r="117" spans="1:18" ht="31.2">
      <c r="A117" s="1" t="s">
        <v>1755</v>
      </c>
      <c r="B117" s="1" t="s">
        <v>2060</v>
      </c>
      <c r="D117" s="1" t="s">
        <v>2069</v>
      </c>
      <c r="F117" s="1" t="s">
        <v>1055</v>
      </c>
      <c r="K117" s="1" t="s">
        <v>2514</v>
      </c>
      <c r="L117" s="1" t="s">
        <v>1919</v>
      </c>
      <c r="M117" s="1" t="s">
        <v>1906</v>
      </c>
      <c r="O117" s="5" t="s">
        <v>2425</v>
      </c>
      <c r="Q117" s="1">
        <v>116</v>
      </c>
      <c r="R117" s="1">
        <f t="shared" si="3"/>
        <v>9</v>
      </c>
    </row>
    <row r="118" spans="1:18" ht="46.8">
      <c r="A118" s="1" t="s">
        <v>1755</v>
      </c>
      <c r="B118" s="1" t="s">
        <v>2060</v>
      </c>
      <c r="D118" s="1" t="s">
        <v>2070</v>
      </c>
      <c r="F118" s="1" t="s">
        <v>1058</v>
      </c>
      <c r="K118" s="2" t="s">
        <v>2554</v>
      </c>
      <c r="L118" s="2" t="s">
        <v>2600</v>
      </c>
      <c r="M118" s="2" t="s">
        <v>2538</v>
      </c>
      <c r="O118" s="5" t="s">
        <v>2426</v>
      </c>
      <c r="P118" s="1" t="s">
        <v>1984</v>
      </c>
      <c r="Q118" s="1">
        <v>117</v>
      </c>
      <c r="R118" s="1">
        <f t="shared" si="3"/>
        <v>3</v>
      </c>
    </row>
    <row r="119" spans="1:18" ht="31.2">
      <c r="A119" s="1" t="s">
        <v>1755</v>
      </c>
      <c r="B119" s="1" t="s">
        <v>1715</v>
      </c>
      <c r="C119" s="1" t="s">
        <v>2155</v>
      </c>
      <c r="D119" s="1" t="s">
        <v>2071</v>
      </c>
      <c r="F119" s="1" t="s">
        <v>1563</v>
      </c>
      <c r="G119" s="1" t="s">
        <v>2302</v>
      </c>
      <c r="K119" s="2" t="s">
        <v>2585</v>
      </c>
      <c r="L119" s="2" t="s">
        <v>1919</v>
      </c>
      <c r="M119" s="1" t="s">
        <v>2539</v>
      </c>
      <c r="O119" s="5" t="s">
        <v>2318</v>
      </c>
      <c r="Q119" s="1">
        <v>118</v>
      </c>
      <c r="R119" s="1">
        <f t="shared" si="3"/>
        <v>3</v>
      </c>
    </row>
    <row r="120" spans="1:18" ht="31.2">
      <c r="A120" s="1" t="s">
        <v>1755</v>
      </c>
      <c r="B120" s="1" t="s">
        <v>1715</v>
      </c>
      <c r="C120" s="1" t="s">
        <v>2155</v>
      </c>
      <c r="D120" s="1" t="s">
        <v>2072</v>
      </c>
      <c r="F120" s="1" t="s">
        <v>1106</v>
      </c>
      <c r="I120" s="1" t="s">
        <v>2153</v>
      </c>
      <c r="J120" s="1" t="s">
        <v>2154</v>
      </c>
      <c r="K120" s="1" t="s">
        <v>2522</v>
      </c>
      <c r="L120" s="1" t="s">
        <v>2552</v>
      </c>
      <c r="M120" s="1" t="s">
        <v>1917</v>
      </c>
      <c r="O120" s="5" t="s">
        <v>2427</v>
      </c>
      <c r="Q120" s="1">
        <v>119</v>
      </c>
      <c r="R120" s="1">
        <f t="shared" si="3"/>
        <v>3</v>
      </c>
    </row>
    <row r="121" spans="1:18" ht="31.2">
      <c r="A121" s="1" t="s">
        <v>1755</v>
      </c>
      <c r="B121" s="1" t="s">
        <v>1715</v>
      </c>
      <c r="C121" s="1" t="s">
        <v>2155</v>
      </c>
      <c r="D121" s="1" t="s">
        <v>2073</v>
      </c>
      <c r="F121" s="1" t="s">
        <v>1105</v>
      </c>
      <c r="J121" s="1" t="s">
        <v>1814</v>
      </c>
      <c r="K121" s="1" t="s">
        <v>2522</v>
      </c>
      <c r="L121" s="1" t="s">
        <v>2563</v>
      </c>
      <c r="M121" s="1" t="s">
        <v>2540</v>
      </c>
      <c r="O121" s="5" t="s">
        <v>2428</v>
      </c>
      <c r="P121" s="1" t="s">
        <v>2239</v>
      </c>
      <c r="Q121" s="1">
        <v>120</v>
      </c>
      <c r="R121" s="1">
        <f t="shared" si="3"/>
        <v>1</v>
      </c>
    </row>
    <row r="122" spans="1:18">
      <c r="A122" s="1" t="s">
        <v>1755</v>
      </c>
      <c r="B122" s="1" t="s">
        <v>1715</v>
      </c>
      <c r="C122" s="1" t="s">
        <v>2156</v>
      </c>
      <c r="D122" s="1" t="s">
        <v>2074</v>
      </c>
      <c r="F122" s="1" t="s">
        <v>1710</v>
      </c>
      <c r="G122" s="1" t="s">
        <v>2311</v>
      </c>
      <c r="I122" t="s">
        <v>2160</v>
      </c>
      <c r="J122" s="1" t="s">
        <v>2158</v>
      </c>
      <c r="L122" s="1" t="s">
        <v>2553</v>
      </c>
      <c r="M122" s="1" t="s">
        <v>2523</v>
      </c>
      <c r="O122" s="5" t="s">
        <v>2429</v>
      </c>
      <c r="P122" s="1" t="s">
        <v>2095</v>
      </c>
      <c r="Q122" s="1">
        <v>121</v>
      </c>
      <c r="R122" s="1">
        <f t="shared" si="3"/>
        <v>1</v>
      </c>
    </row>
    <row r="123" spans="1:18">
      <c r="A123" s="1" t="s">
        <v>1755</v>
      </c>
      <c r="B123" s="1" t="s">
        <v>1715</v>
      </c>
      <c r="C123" s="1" t="s">
        <v>2156</v>
      </c>
      <c r="D123" s="1" t="s">
        <v>2075</v>
      </c>
      <c r="F123" s="1" t="s">
        <v>2062</v>
      </c>
      <c r="I123" s="1" t="s">
        <v>2159</v>
      </c>
      <c r="K123" s="1" t="s">
        <v>1918</v>
      </c>
      <c r="M123" s="1" t="s">
        <v>2541</v>
      </c>
      <c r="O123" s="5" t="s">
        <v>2430</v>
      </c>
      <c r="P123" s="1" t="s">
        <v>2004</v>
      </c>
      <c r="Q123" s="1">
        <v>122</v>
      </c>
      <c r="R123" s="1">
        <f t="shared" si="3"/>
        <v>1</v>
      </c>
    </row>
    <row r="124" spans="1:18" ht="31.2">
      <c r="A124" s="1" t="s">
        <v>1755</v>
      </c>
      <c r="B124" s="1" t="s">
        <v>1715</v>
      </c>
      <c r="C124" s="1" t="s">
        <v>2156</v>
      </c>
      <c r="D124" s="1" t="s">
        <v>2076</v>
      </c>
      <c r="F124" s="1" t="s">
        <v>1051</v>
      </c>
      <c r="G124" s="1" t="s">
        <v>2297</v>
      </c>
      <c r="I124" s="1" t="s">
        <v>1951</v>
      </c>
      <c r="J124" s="1" t="s">
        <v>2161</v>
      </c>
      <c r="K124" s="1" t="s">
        <v>2543</v>
      </c>
      <c r="M124" s="1" t="s">
        <v>2542</v>
      </c>
      <c r="O124" s="5" t="s">
        <v>2431</v>
      </c>
      <c r="P124" s="1" t="s">
        <v>1995</v>
      </c>
      <c r="Q124" s="1">
        <v>123</v>
      </c>
      <c r="R124" s="1">
        <f>COUNTIF(F:H,G124)</f>
        <v>3</v>
      </c>
    </row>
    <row r="125" spans="1:18">
      <c r="A125" s="1" t="s">
        <v>1755</v>
      </c>
      <c r="B125" s="1" t="s">
        <v>1715</v>
      </c>
      <c r="C125" s="1" t="s">
        <v>2157</v>
      </c>
      <c r="D125" s="1" t="s">
        <v>2071</v>
      </c>
      <c r="F125" s="1" t="s">
        <v>2110</v>
      </c>
      <c r="K125" s="1" t="s">
        <v>2570</v>
      </c>
      <c r="L125" s="1" t="s">
        <v>2571</v>
      </c>
      <c r="M125" s="1" t="s">
        <v>2479</v>
      </c>
      <c r="O125" s="5" t="s">
        <v>2320</v>
      </c>
      <c r="P125" s="1" t="s">
        <v>2131</v>
      </c>
      <c r="Q125" s="1">
        <v>124</v>
      </c>
      <c r="R125" s="1">
        <f t="shared" ref="R125:R172" si="4">COUNTIF(F:H,F125)</f>
        <v>1</v>
      </c>
    </row>
    <row r="126" spans="1:18">
      <c r="A126" s="1" t="s">
        <v>1755</v>
      </c>
      <c r="B126" s="1" t="s">
        <v>1715</v>
      </c>
      <c r="C126" s="1" t="s">
        <v>2157</v>
      </c>
      <c r="D126" s="1" t="s">
        <v>2077</v>
      </c>
      <c r="F126" s="1" t="s">
        <v>1089</v>
      </c>
      <c r="K126" s="2" t="s">
        <v>2594</v>
      </c>
      <c r="L126" s="2" t="s">
        <v>1919</v>
      </c>
      <c r="M126" s="1" t="s">
        <v>2544</v>
      </c>
      <c r="O126" s="5" t="s">
        <v>2432</v>
      </c>
      <c r="P126" s="1" t="s">
        <v>1975</v>
      </c>
      <c r="Q126" s="1">
        <v>125</v>
      </c>
      <c r="R126" s="1">
        <f t="shared" si="4"/>
        <v>1</v>
      </c>
    </row>
    <row r="127" spans="1:18" ht="31.2">
      <c r="A127" s="1" t="s">
        <v>1755</v>
      </c>
      <c r="B127" s="1" t="s">
        <v>1715</v>
      </c>
      <c r="C127" s="1" t="s">
        <v>2157</v>
      </c>
      <c r="D127" s="1" t="s">
        <v>2078</v>
      </c>
      <c r="F127" s="1" t="s">
        <v>1643</v>
      </c>
      <c r="G127" s="1" t="s">
        <v>1064</v>
      </c>
      <c r="K127" s="1" t="s">
        <v>1942</v>
      </c>
      <c r="M127" s="1" t="s">
        <v>1926</v>
      </c>
      <c r="O127" s="5" t="s">
        <v>2321</v>
      </c>
      <c r="P127" s="1" t="s">
        <v>1985</v>
      </c>
      <c r="Q127" s="1">
        <v>126</v>
      </c>
      <c r="R127" s="1">
        <f t="shared" si="4"/>
        <v>3</v>
      </c>
    </row>
    <row r="128" spans="1:18" ht="46.8">
      <c r="A128" s="1" t="s">
        <v>767</v>
      </c>
      <c r="B128" s="1" t="s">
        <v>2162</v>
      </c>
      <c r="C128" s="1" t="s">
        <v>410</v>
      </c>
      <c r="D128" s="1" t="s">
        <v>2170</v>
      </c>
      <c r="E128" s="1" t="s">
        <v>486</v>
      </c>
      <c r="F128" s="1" t="s">
        <v>2193</v>
      </c>
      <c r="G128" s="1" t="s">
        <v>2300</v>
      </c>
      <c r="J128" s="1" t="s">
        <v>2259</v>
      </c>
      <c r="L128" s="1" t="s">
        <v>1919</v>
      </c>
      <c r="M128" s="1" t="s">
        <v>2486</v>
      </c>
      <c r="O128" s="5" t="s">
        <v>2433</v>
      </c>
      <c r="P128" s="1" t="s">
        <v>2236</v>
      </c>
      <c r="Q128" s="1">
        <v>127</v>
      </c>
      <c r="R128" s="1">
        <f t="shared" si="4"/>
        <v>1</v>
      </c>
    </row>
    <row r="129" spans="1:18" ht="31.2">
      <c r="A129" s="1" t="s">
        <v>767</v>
      </c>
      <c r="B129" s="1" t="s">
        <v>2162</v>
      </c>
      <c r="C129" s="1" t="s">
        <v>410</v>
      </c>
      <c r="D129" s="1" t="s">
        <v>2172</v>
      </c>
      <c r="E129" s="1" t="s">
        <v>486</v>
      </c>
      <c r="F129" s="1" t="s">
        <v>2258</v>
      </c>
      <c r="J129" s="1" t="s">
        <v>2260</v>
      </c>
      <c r="L129" s="1" t="s">
        <v>1918</v>
      </c>
      <c r="M129" s="1" t="s">
        <v>2485</v>
      </c>
      <c r="O129" s="5" t="s">
        <v>2434</v>
      </c>
      <c r="P129" s="1" t="s">
        <v>2221</v>
      </c>
      <c r="Q129" s="1">
        <v>128</v>
      </c>
      <c r="R129" s="1">
        <f t="shared" si="4"/>
        <v>1</v>
      </c>
    </row>
    <row r="130" spans="1:18" ht="31.2">
      <c r="A130" s="1" t="s">
        <v>767</v>
      </c>
      <c r="B130" s="1" t="s">
        <v>2162</v>
      </c>
      <c r="C130" s="1" t="s">
        <v>410</v>
      </c>
      <c r="D130" s="1" t="s">
        <v>2171</v>
      </c>
      <c r="E130" s="1" t="s">
        <v>189</v>
      </c>
      <c r="F130" s="1" t="s">
        <v>2195</v>
      </c>
      <c r="G130" s="1" t="s">
        <v>2263</v>
      </c>
      <c r="J130" s="1" t="s">
        <v>373</v>
      </c>
      <c r="K130" s="1" t="s">
        <v>2522</v>
      </c>
      <c r="L130" s="1" t="s">
        <v>1915</v>
      </c>
      <c r="M130" s="1" t="s">
        <v>2484</v>
      </c>
      <c r="O130" s="5" t="s">
        <v>2435</v>
      </c>
      <c r="P130" s="1" t="s">
        <v>2103</v>
      </c>
      <c r="Q130" s="1">
        <v>129</v>
      </c>
      <c r="R130" s="1">
        <f t="shared" si="4"/>
        <v>1</v>
      </c>
    </row>
    <row r="131" spans="1:18" ht="31.2">
      <c r="A131" s="1" t="s">
        <v>767</v>
      </c>
      <c r="B131" s="1" t="s">
        <v>2162</v>
      </c>
      <c r="C131" s="1" t="s">
        <v>410</v>
      </c>
      <c r="D131" s="1" t="s">
        <v>2173</v>
      </c>
      <c r="E131" s="1" t="s">
        <v>189</v>
      </c>
      <c r="F131" s="1" t="s">
        <v>2252</v>
      </c>
      <c r="J131" s="1" t="s">
        <v>2261</v>
      </c>
      <c r="K131" s="1" t="s">
        <v>2522</v>
      </c>
      <c r="L131" s="1" t="s">
        <v>2553</v>
      </c>
      <c r="M131" s="1" t="s">
        <v>2483</v>
      </c>
      <c r="O131" s="5" t="s">
        <v>2348</v>
      </c>
      <c r="P131" s="1" t="s">
        <v>2210</v>
      </c>
      <c r="Q131" s="1">
        <v>130</v>
      </c>
      <c r="R131" s="1">
        <f t="shared" si="4"/>
        <v>1</v>
      </c>
    </row>
    <row r="132" spans="1:18" ht="31.2">
      <c r="A132" s="1" t="s">
        <v>767</v>
      </c>
      <c r="B132" s="1" t="s">
        <v>2162</v>
      </c>
      <c r="C132" s="1" t="s">
        <v>409</v>
      </c>
      <c r="D132" s="1" t="s">
        <v>2174</v>
      </c>
      <c r="E132" s="1" t="s">
        <v>145</v>
      </c>
      <c r="F132" s="1" t="s">
        <v>2129</v>
      </c>
      <c r="J132" s="1" t="s">
        <v>2260</v>
      </c>
      <c r="K132" s="2" t="s">
        <v>2595</v>
      </c>
      <c r="L132" s="2" t="s">
        <v>2596</v>
      </c>
      <c r="M132" s="1" t="s">
        <v>2482</v>
      </c>
      <c r="O132" s="5" t="s">
        <v>2322</v>
      </c>
      <c r="Q132" s="1">
        <v>131</v>
      </c>
      <c r="R132" s="1">
        <f t="shared" si="4"/>
        <v>2</v>
      </c>
    </row>
    <row r="133" spans="1:18" ht="46.8">
      <c r="A133" s="1" t="s">
        <v>767</v>
      </c>
      <c r="B133" s="1" t="s">
        <v>2162</v>
      </c>
      <c r="C133" s="1" t="s">
        <v>409</v>
      </c>
      <c r="D133" s="1" t="s">
        <v>1969</v>
      </c>
      <c r="E133" s="1" t="s">
        <v>145</v>
      </c>
      <c r="F133" s="1" t="s">
        <v>1645</v>
      </c>
      <c r="G133" s="1" t="s">
        <v>1125</v>
      </c>
      <c r="J133" s="1" t="s">
        <v>2262</v>
      </c>
      <c r="K133" s="1" t="s">
        <v>2572</v>
      </c>
      <c r="L133" s="1" t="s">
        <v>2548</v>
      </c>
      <c r="M133" s="2" t="s">
        <v>2481</v>
      </c>
      <c r="O133" s="5" t="s">
        <v>2436</v>
      </c>
      <c r="Q133" s="1">
        <v>132</v>
      </c>
      <c r="R133" s="1">
        <f t="shared" si="4"/>
        <v>3</v>
      </c>
    </row>
    <row r="134" spans="1:18" ht="62.4">
      <c r="A134" s="1" t="s">
        <v>767</v>
      </c>
      <c r="B134" s="1" t="s">
        <v>293</v>
      </c>
      <c r="D134" s="1" t="s">
        <v>2254</v>
      </c>
      <c r="F134" s="1" t="s">
        <v>2201</v>
      </c>
      <c r="K134" s="2" t="s">
        <v>2522</v>
      </c>
      <c r="L134" s="1" t="s">
        <v>2597</v>
      </c>
      <c r="M134" s="1" t="s">
        <v>2575</v>
      </c>
      <c r="O134" s="5" t="s">
        <v>2437</v>
      </c>
      <c r="P134" s="1" t="s">
        <v>2208</v>
      </c>
      <c r="Q134" s="1">
        <v>133</v>
      </c>
      <c r="R134" s="1">
        <f t="shared" si="4"/>
        <v>1</v>
      </c>
    </row>
    <row r="135" spans="1:18" ht="31.2">
      <c r="A135" s="1" t="s">
        <v>767</v>
      </c>
      <c r="B135" s="1" t="s">
        <v>293</v>
      </c>
      <c r="D135" s="1" t="s">
        <v>2255</v>
      </c>
      <c r="F135" s="1" t="s">
        <v>2203</v>
      </c>
      <c r="K135" s="1" t="s">
        <v>2522</v>
      </c>
      <c r="L135" s="1" t="s">
        <v>2553</v>
      </c>
      <c r="M135" s="1" t="s">
        <v>1904</v>
      </c>
      <c r="O135" s="5" t="s">
        <v>2438</v>
      </c>
      <c r="P135" s="1" t="s">
        <v>2001</v>
      </c>
      <c r="Q135" s="1">
        <v>134</v>
      </c>
      <c r="R135" s="1">
        <f t="shared" si="4"/>
        <v>1</v>
      </c>
    </row>
    <row r="136" spans="1:18">
      <c r="A136" s="1" t="s">
        <v>767</v>
      </c>
      <c r="B136" s="1" t="s">
        <v>293</v>
      </c>
      <c r="D136" s="1" t="s">
        <v>2022</v>
      </c>
      <c r="F136" s="1" t="s">
        <v>2205</v>
      </c>
      <c r="L136" s="1" t="s">
        <v>1919</v>
      </c>
      <c r="M136" s="1" t="s">
        <v>1917</v>
      </c>
      <c r="O136" s="5" t="s">
        <v>2439</v>
      </c>
      <c r="P136" s="1" t="s">
        <v>2000</v>
      </c>
      <c r="Q136" s="1">
        <v>135</v>
      </c>
      <c r="R136" s="1">
        <f t="shared" si="4"/>
        <v>1</v>
      </c>
    </row>
    <row r="137" spans="1:18" ht="31.2">
      <c r="A137" s="1" t="s">
        <v>767</v>
      </c>
      <c r="B137" s="1" t="s">
        <v>293</v>
      </c>
      <c r="D137" s="1" t="s">
        <v>2023</v>
      </c>
      <c r="F137" s="1" t="s">
        <v>1096</v>
      </c>
      <c r="K137" s="1" t="s">
        <v>2587</v>
      </c>
      <c r="L137" s="1" t="s">
        <v>2552</v>
      </c>
      <c r="M137" s="1" t="s">
        <v>2474</v>
      </c>
      <c r="O137" s="5" t="s">
        <v>2440</v>
      </c>
      <c r="Q137" s="1">
        <v>136</v>
      </c>
      <c r="R137" s="1">
        <f t="shared" si="4"/>
        <v>2</v>
      </c>
    </row>
    <row r="138" spans="1:18" ht="31.2">
      <c r="A138" s="1" t="s">
        <v>767</v>
      </c>
      <c r="B138" s="1" t="s">
        <v>293</v>
      </c>
      <c r="D138" s="1" t="s">
        <v>2021</v>
      </c>
      <c r="F138" s="1" t="s">
        <v>1117</v>
      </c>
      <c r="L138" s="1" t="s">
        <v>2553</v>
      </c>
      <c r="M138" s="1" t="s">
        <v>2474</v>
      </c>
      <c r="O138" s="5" t="s">
        <v>2441</v>
      </c>
      <c r="P138" s="1" t="s">
        <v>1987</v>
      </c>
      <c r="Q138" s="1">
        <v>137</v>
      </c>
      <c r="R138" s="1">
        <f t="shared" si="4"/>
        <v>1</v>
      </c>
    </row>
    <row r="139" spans="1:18" ht="31.2">
      <c r="A139" s="1" t="s">
        <v>767</v>
      </c>
      <c r="B139" s="1" t="s">
        <v>293</v>
      </c>
      <c r="D139" s="1" t="s">
        <v>2256</v>
      </c>
      <c r="F139" s="1" t="s">
        <v>2209</v>
      </c>
      <c r="K139" s="1" t="s">
        <v>2475</v>
      </c>
      <c r="M139" s="1" t="s">
        <v>1906</v>
      </c>
      <c r="O139" s="5" t="s">
        <v>2442</v>
      </c>
      <c r="Q139" s="1">
        <v>138</v>
      </c>
      <c r="R139" s="1">
        <f t="shared" si="4"/>
        <v>2</v>
      </c>
    </row>
    <row r="140" spans="1:18" ht="31.2">
      <c r="A140" s="1" t="s">
        <v>668</v>
      </c>
      <c r="B140" s="1" t="s">
        <v>1696</v>
      </c>
      <c r="D140" s="1" t="s">
        <v>2175</v>
      </c>
      <c r="F140" s="1" t="s">
        <v>1082</v>
      </c>
      <c r="L140" s="1" t="s">
        <v>2559</v>
      </c>
      <c r="M140" s="1" t="s">
        <v>2480</v>
      </c>
      <c r="O140" s="5" t="s">
        <v>2443</v>
      </c>
      <c r="Q140" s="1">
        <v>139</v>
      </c>
      <c r="R140" s="1">
        <f t="shared" si="4"/>
        <v>6</v>
      </c>
    </row>
    <row r="141" spans="1:18" ht="31.2">
      <c r="A141" s="1" t="s">
        <v>668</v>
      </c>
      <c r="B141" s="1" t="s">
        <v>1696</v>
      </c>
      <c r="D141" s="1" t="s">
        <v>1850</v>
      </c>
      <c r="F141" s="1" t="s">
        <v>1078</v>
      </c>
      <c r="I141" s="1" t="s">
        <v>2265</v>
      </c>
      <c r="L141" s="1" t="s">
        <v>1918</v>
      </c>
      <c r="M141" s="1" t="s">
        <v>2479</v>
      </c>
      <c r="O141" s="5" t="s">
        <v>2444</v>
      </c>
      <c r="Q141" s="1">
        <v>140</v>
      </c>
      <c r="R141" s="1">
        <f t="shared" si="4"/>
        <v>1</v>
      </c>
    </row>
    <row r="142" spans="1:18" ht="31.2">
      <c r="A142" s="1" t="s">
        <v>668</v>
      </c>
      <c r="B142" s="1" t="s">
        <v>1696</v>
      </c>
      <c r="D142" s="1" t="s">
        <v>2187</v>
      </c>
      <c r="F142" s="1" t="s">
        <v>2213</v>
      </c>
      <c r="K142" s="1" t="s">
        <v>2475</v>
      </c>
      <c r="M142" s="1" t="s">
        <v>2478</v>
      </c>
      <c r="O142" s="5" t="s">
        <v>2445</v>
      </c>
      <c r="P142" s="1" t="s">
        <v>2080</v>
      </c>
      <c r="Q142" s="1">
        <v>141</v>
      </c>
      <c r="R142" s="1">
        <f t="shared" si="4"/>
        <v>1</v>
      </c>
    </row>
    <row r="143" spans="1:18" ht="31.2">
      <c r="A143" s="1" t="s">
        <v>668</v>
      </c>
      <c r="B143" s="1" t="s">
        <v>1696</v>
      </c>
      <c r="D143" s="1" t="s">
        <v>1953</v>
      </c>
      <c r="F143" s="1" t="s">
        <v>1055</v>
      </c>
      <c r="K143" s="1" t="s">
        <v>2514</v>
      </c>
      <c r="L143" s="1" t="s">
        <v>1919</v>
      </c>
      <c r="M143" s="1" t="s">
        <v>2470</v>
      </c>
      <c r="O143" s="5" t="s">
        <v>2446</v>
      </c>
      <c r="Q143" s="1">
        <v>142</v>
      </c>
      <c r="R143" s="1">
        <f t="shared" si="4"/>
        <v>9</v>
      </c>
    </row>
    <row r="144" spans="1:18">
      <c r="A144" s="1" t="s">
        <v>668</v>
      </c>
      <c r="B144" s="1" t="s">
        <v>184</v>
      </c>
      <c r="C144" s="1" t="s">
        <v>2267</v>
      </c>
      <c r="D144" s="1" t="s">
        <v>2177</v>
      </c>
      <c r="F144" s="1" t="s">
        <v>997</v>
      </c>
      <c r="K144" s="1" t="s">
        <v>2522</v>
      </c>
      <c r="L144" s="1" t="s">
        <v>1932</v>
      </c>
      <c r="M144" s="1" t="s">
        <v>688</v>
      </c>
      <c r="O144" s="5" t="s">
        <v>2323</v>
      </c>
      <c r="Q144" s="1">
        <v>143</v>
      </c>
      <c r="R144" s="1">
        <f t="shared" si="4"/>
        <v>3</v>
      </c>
    </row>
    <row r="145" spans="1:18" ht="31.2">
      <c r="A145" s="1" t="s">
        <v>668</v>
      </c>
      <c r="B145" s="1" t="s">
        <v>184</v>
      </c>
      <c r="C145" s="1" t="s">
        <v>2267</v>
      </c>
      <c r="D145" s="1" t="s">
        <v>2176</v>
      </c>
      <c r="F145" s="1" t="s">
        <v>1029</v>
      </c>
      <c r="K145" s="2" t="s">
        <v>2522</v>
      </c>
      <c r="L145" s="2" t="s">
        <v>2552</v>
      </c>
      <c r="M145" s="1" t="s">
        <v>688</v>
      </c>
      <c r="O145" s="6" t="s">
        <v>2324</v>
      </c>
      <c r="P145" s="1" t="s">
        <v>1981</v>
      </c>
      <c r="Q145" s="1">
        <v>144</v>
      </c>
      <c r="R145" s="1">
        <f t="shared" si="4"/>
        <v>2</v>
      </c>
    </row>
    <row r="146" spans="1:18">
      <c r="A146" s="1" t="s">
        <v>668</v>
      </c>
      <c r="B146" s="1" t="s">
        <v>184</v>
      </c>
      <c r="C146" s="1" t="s">
        <v>2267</v>
      </c>
      <c r="D146" s="1" t="s">
        <v>2188</v>
      </c>
      <c r="F146" s="1" t="s">
        <v>1024</v>
      </c>
      <c r="K146" s="1" t="s">
        <v>2476</v>
      </c>
      <c r="M146" s="1" t="s">
        <v>2473</v>
      </c>
      <c r="O146" s="6" t="s">
        <v>2325</v>
      </c>
      <c r="Q146" s="1">
        <v>145</v>
      </c>
      <c r="R146" s="1">
        <f t="shared" si="4"/>
        <v>5</v>
      </c>
    </row>
    <row r="147" spans="1:18" ht="31.2">
      <c r="A147" s="1" t="s">
        <v>668</v>
      </c>
      <c r="B147" s="1" t="s">
        <v>184</v>
      </c>
      <c r="C147" s="1" t="s">
        <v>2267</v>
      </c>
      <c r="D147" s="1" t="s">
        <v>2069</v>
      </c>
      <c r="F147" s="1" t="s">
        <v>1055</v>
      </c>
      <c r="K147" s="1" t="s">
        <v>2475</v>
      </c>
      <c r="M147" s="1" t="s">
        <v>2477</v>
      </c>
      <c r="O147" s="6" t="s">
        <v>2326</v>
      </c>
      <c r="Q147" s="1">
        <v>146</v>
      </c>
      <c r="R147" s="1">
        <f t="shared" si="4"/>
        <v>9</v>
      </c>
    </row>
    <row r="148" spans="1:18">
      <c r="A148" s="1" t="s">
        <v>668</v>
      </c>
      <c r="B148" s="1" t="s">
        <v>184</v>
      </c>
      <c r="C148" s="1" t="s">
        <v>2266</v>
      </c>
      <c r="D148" s="1" t="s">
        <v>2176</v>
      </c>
      <c r="E148" s="1" t="s">
        <v>544</v>
      </c>
      <c r="F148" s="1" t="s">
        <v>548</v>
      </c>
      <c r="G148" s="1" t="s">
        <v>2271</v>
      </c>
      <c r="K148" s="2" t="s">
        <v>2522</v>
      </c>
      <c r="L148" s="2" t="s">
        <v>2552</v>
      </c>
      <c r="M148" s="1" t="s">
        <v>2467</v>
      </c>
      <c r="O148" s="6" t="s">
        <v>2327</v>
      </c>
      <c r="P148" s="1" t="s">
        <v>2111</v>
      </c>
      <c r="Q148" s="1">
        <v>147</v>
      </c>
      <c r="R148" s="1">
        <f t="shared" si="4"/>
        <v>1</v>
      </c>
    </row>
    <row r="149" spans="1:18" ht="31.2">
      <c r="A149" s="1" t="s">
        <v>668</v>
      </c>
      <c r="B149" s="1" t="s">
        <v>184</v>
      </c>
      <c r="C149" s="1" t="s">
        <v>2266</v>
      </c>
      <c r="D149" s="1" t="s">
        <v>1767</v>
      </c>
      <c r="E149" s="1" t="s">
        <v>145</v>
      </c>
      <c r="F149" s="1" t="s">
        <v>1642</v>
      </c>
      <c r="G149" s="1" t="s">
        <v>2232</v>
      </c>
      <c r="K149" s="1" t="s">
        <v>2501</v>
      </c>
      <c r="M149" s="1" t="s">
        <v>2465</v>
      </c>
      <c r="O149" s="6" t="s">
        <v>2328</v>
      </c>
      <c r="Q149" s="1">
        <v>148</v>
      </c>
      <c r="R149" s="1">
        <f t="shared" si="4"/>
        <v>4</v>
      </c>
    </row>
    <row r="150" spans="1:18">
      <c r="A150" s="1" t="s">
        <v>668</v>
      </c>
      <c r="B150" s="1" t="s">
        <v>184</v>
      </c>
      <c r="C150" s="1" t="s">
        <v>2166</v>
      </c>
      <c r="D150" s="1" t="s">
        <v>2177</v>
      </c>
      <c r="E150" s="1" t="s">
        <v>1746</v>
      </c>
      <c r="F150" s="1" t="s">
        <v>997</v>
      </c>
      <c r="K150" s="2" t="s">
        <v>2573</v>
      </c>
      <c r="L150" s="2" t="s">
        <v>1915</v>
      </c>
      <c r="M150" s="1" t="s">
        <v>688</v>
      </c>
      <c r="O150" s="6" t="s">
        <v>2329</v>
      </c>
      <c r="Q150" s="1">
        <v>149</v>
      </c>
      <c r="R150" s="1">
        <f t="shared" si="4"/>
        <v>3</v>
      </c>
    </row>
    <row r="151" spans="1:18" ht="31.2">
      <c r="A151" s="1" t="s">
        <v>668</v>
      </c>
      <c r="B151" s="1" t="s">
        <v>184</v>
      </c>
      <c r="C151" s="1" t="s">
        <v>2166</v>
      </c>
      <c r="D151" s="1" t="s">
        <v>546</v>
      </c>
      <c r="E151" s="1" t="s">
        <v>1746</v>
      </c>
      <c r="F151" s="1" t="s">
        <v>542</v>
      </c>
      <c r="G151" s="1" t="s">
        <v>2270</v>
      </c>
      <c r="K151" s="1" t="s">
        <v>2522</v>
      </c>
      <c r="L151" s="1" t="s">
        <v>1915</v>
      </c>
      <c r="M151" s="1" t="s">
        <v>2473</v>
      </c>
      <c r="O151" s="6" t="s">
        <v>2330</v>
      </c>
      <c r="P151" s="1" t="s">
        <v>1977</v>
      </c>
      <c r="Q151" s="1">
        <v>150</v>
      </c>
      <c r="R151" s="1">
        <f t="shared" si="4"/>
        <v>2</v>
      </c>
    </row>
    <row r="152" spans="1:18" ht="31.2">
      <c r="A152" s="1" t="s">
        <v>668</v>
      </c>
      <c r="B152" s="1" t="s">
        <v>184</v>
      </c>
      <c r="C152" s="1" t="s">
        <v>2166</v>
      </c>
      <c r="D152" s="1" t="s">
        <v>1767</v>
      </c>
      <c r="F152" s="1" t="s">
        <v>1060</v>
      </c>
      <c r="K152" s="1" t="s">
        <v>2476</v>
      </c>
      <c r="M152" s="1" t="s">
        <v>1905</v>
      </c>
      <c r="O152" s="6" t="s">
        <v>2331</v>
      </c>
      <c r="P152" s="1" t="s">
        <v>1990</v>
      </c>
      <c r="Q152" s="1">
        <v>151</v>
      </c>
      <c r="R152" s="1">
        <f t="shared" si="4"/>
        <v>1</v>
      </c>
    </row>
    <row r="153" spans="1:18" ht="31.2">
      <c r="A153" s="1" t="s">
        <v>668</v>
      </c>
      <c r="B153" s="1" t="s">
        <v>184</v>
      </c>
      <c r="C153" s="1" t="s">
        <v>2167</v>
      </c>
      <c r="D153" s="1" t="s">
        <v>2178</v>
      </c>
      <c r="F153" s="1" t="s">
        <v>2272</v>
      </c>
      <c r="G153" s="1" t="s">
        <v>982</v>
      </c>
      <c r="K153" s="2" t="s">
        <v>2522</v>
      </c>
      <c r="L153" s="2" t="s">
        <v>2553</v>
      </c>
      <c r="M153" s="1" t="s">
        <v>2474</v>
      </c>
      <c r="O153" s="6" t="s">
        <v>2332</v>
      </c>
      <c r="P153" s="1" t="s">
        <v>2226</v>
      </c>
      <c r="Q153" s="1">
        <v>152</v>
      </c>
      <c r="R153" s="1">
        <f t="shared" si="4"/>
        <v>2</v>
      </c>
    </row>
    <row r="154" spans="1:18">
      <c r="A154" s="1" t="s">
        <v>668</v>
      </c>
      <c r="B154" s="1" t="s">
        <v>184</v>
      </c>
      <c r="C154" s="1" t="s">
        <v>2167</v>
      </c>
      <c r="D154" s="1" t="s">
        <v>546</v>
      </c>
      <c r="F154" s="1" t="s">
        <v>1024</v>
      </c>
      <c r="K154" s="1" t="s">
        <v>2472</v>
      </c>
      <c r="M154" s="1" t="s">
        <v>2473</v>
      </c>
      <c r="O154" s="6" t="s">
        <v>2333</v>
      </c>
      <c r="Q154" s="1">
        <v>153</v>
      </c>
      <c r="R154" s="1">
        <f t="shared" si="4"/>
        <v>5</v>
      </c>
    </row>
    <row r="155" spans="1:18" ht="31.2">
      <c r="A155" s="1" t="s">
        <v>668</v>
      </c>
      <c r="B155" s="1" t="s">
        <v>184</v>
      </c>
      <c r="C155" s="1" t="s">
        <v>2167</v>
      </c>
      <c r="D155" s="1" t="s">
        <v>2189</v>
      </c>
      <c r="F155" s="1" t="s">
        <v>1055</v>
      </c>
      <c r="K155" s="1" t="s">
        <v>2475</v>
      </c>
      <c r="M155" s="1" t="s">
        <v>1906</v>
      </c>
      <c r="O155" s="6" t="s">
        <v>2334</v>
      </c>
      <c r="Q155" s="1">
        <v>154</v>
      </c>
      <c r="R155" s="1">
        <f t="shared" si="4"/>
        <v>9</v>
      </c>
    </row>
    <row r="156" spans="1:18">
      <c r="A156" s="1" t="s">
        <v>668</v>
      </c>
      <c r="B156" s="1" t="s">
        <v>184</v>
      </c>
      <c r="C156" s="1" t="s">
        <v>2168</v>
      </c>
      <c r="D156" s="1" t="s">
        <v>2179</v>
      </c>
      <c r="E156" s="1" t="s">
        <v>2273</v>
      </c>
      <c r="F156" s="1" t="s">
        <v>2275</v>
      </c>
      <c r="G156" s="1" t="s">
        <v>2310</v>
      </c>
      <c r="K156" s="1" t="s">
        <v>2522</v>
      </c>
      <c r="L156" s="1" t="s">
        <v>2553</v>
      </c>
      <c r="M156" s="1" t="s">
        <v>1904</v>
      </c>
      <c r="O156" s="6" t="s">
        <v>2335</v>
      </c>
      <c r="Q156" s="1">
        <v>155</v>
      </c>
      <c r="R156" s="1">
        <f t="shared" si="4"/>
        <v>1</v>
      </c>
    </row>
    <row r="157" spans="1:18" ht="31.2">
      <c r="A157" s="1" t="s">
        <v>668</v>
      </c>
      <c r="B157" s="1" t="s">
        <v>184</v>
      </c>
      <c r="C157" s="1" t="s">
        <v>2168</v>
      </c>
      <c r="D157" s="1" t="s">
        <v>2030</v>
      </c>
      <c r="E157" s="1" t="s">
        <v>2274</v>
      </c>
      <c r="F157" s="1" t="s">
        <v>1098</v>
      </c>
      <c r="K157" s="1" t="s">
        <v>2475</v>
      </c>
      <c r="M157" s="1" t="s">
        <v>2471</v>
      </c>
      <c r="O157" s="6" t="s">
        <v>2336</v>
      </c>
      <c r="P157" s="1" t="s">
        <v>2125</v>
      </c>
      <c r="Q157" s="1">
        <v>156</v>
      </c>
      <c r="R157" s="1">
        <f t="shared" si="4"/>
        <v>1</v>
      </c>
    </row>
    <row r="158" spans="1:18">
      <c r="A158" s="1" t="s">
        <v>668</v>
      </c>
      <c r="B158" s="1" t="s">
        <v>184</v>
      </c>
      <c r="C158" s="1" t="s">
        <v>2168</v>
      </c>
      <c r="D158" s="1" t="s">
        <v>2190</v>
      </c>
      <c r="F158" s="1" t="s">
        <v>1055</v>
      </c>
      <c r="K158" s="1" t="s">
        <v>2475</v>
      </c>
      <c r="M158" s="1" t="s">
        <v>2471</v>
      </c>
      <c r="O158" s="6" t="s">
        <v>2337</v>
      </c>
      <c r="Q158" s="1">
        <v>157</v>
      </c>
      <c r="R158" s="1">
        <f t="shared" si="4"/>
        <v>9</v>
      </c>
    </row>
    <row r="159" spans="1:18">
      <c r="A159" s="1" t="s">
        <v>668</v>
      </c>
      <c r="B159" s="1" t="s">
        <v>184</v>
      </c>
      <c r="C159" s="1" t="s">
        <v>2169</v>
      </c>
      <c r="D159" s="1" t="s">
        <v>2180</v>
      </c>
      <c r="F159" s="1" t="s">
        <v>1096</v>
      </c>
      <c r="K159" s="1" t="s">
        <v>2476</v>
      </c>
      <c r="M159" s="1" t="s">
        <v>2469</v>
      </c>
      <c r="O159" s="6" t="s">
        <v>2338</v>
      </c>
      <c r="Q159" s="1">
        <v>158</v>
      </c>
      <c r="R159" s="1">
        <f t="shared" si="4"/>
        <v>2</v>
      </c>
    </row>
    <row r="160" spans="1:18">
      <c r="A160" s="1" t="s">
        <v>668</v>
      </c>
      <c r="B160" s="1" t="s">
        <v>184</v>
      </c>
      <c r="C160" s="1" t="s">
        <v>2169</v>
      </c>
      <c r="D160" s="1" t="s">
        <v>1767</v>
      </c>
      <c r="F160" s="1" t="s">
        <v>2229</v>
      </c>
      <c r="K160" s="1" t="s">
        <v>2476</v>
      </c>
      <c r="M160" s="1" t="s">
        <v>1905</v>
      </c>
      <c r="O160" s="6" t="s">
        <v>2339</v>
      </c>
      <c r="P160" s="1" t="s">
        <v>2241</v>
      </c>
      <c r="Q160" s="1">
        <v>159</v>
      </c>
      <c r="R160" s="1">
        <f t="shared" si="4"/>
        <v>1</v>
      </c>
    </row>
    <row r="161" spans="1:18" ht="31.2">
      <c r="A161" s="1" t="s">
        <v>668</v>
      </c>
      <c r="B161" s="1" t="s">
        <v>184</v>
      </c>
      <c r="C161" s="1" t="s">
        <v>2169</v>
      </c>
      <c r="D161" s="1" t="s">
        <v>2191</v>
      </c>
      <c r="F161" s="1" t="s">
        <v>1055</v>
      </c>
      <c r="K161" s="1" t="s">
        <v>2475</v>
      </c>
      <c r="M161" s="1" t="s">
        <v>1906</v>
      </c>
      <c r="O161" s="6" t="s">
        <v>2340</v>
      </c>
      <c r="Q161" s="1">
        <v>160</v>
      </c>
      <c r="R161" s="1">
        <f t="shared" si="4"/>
        <v>9</v>
      </c>
    </row>
    <row r="162" spans="1:18">
      <c r="A162" s="1" t="s">
        <v>668</v>
      </c>
      <c r="B162" s="1" t="s">
        <v>184</v>
      </c>
      <c r="C162" s="1" t="s">
        <v>2169</v>
      </c>
      <c r="D162" s="1" t="s">
        <v>2181</v>
      </c>
      <c r="F162" s="1" t="s">
        <v>2209</v>
      </c>
      <c r="K162" s="1" t="s">
        <v>2475</v>
      </c>
      <c r="M162" s="1" t="s">
        <v>2468</v>
      </c>
      <c r="O162" s="6" t="s">
        <v>2341</v>
      </c>
      <c r="Q162" s="1">
        <v>161</v>
      </c>
      <c r="R162" s="1">
        <f t="shared" si="4"/>
        <v>2</v>
      </c>
    </row>
    <row r="163" spans="1:18">
      <c r="A163" s="1" t="s">
        <v>19</v>
      </c>
      <c r="B163" s="1" t="s">
        <v>709</v>
      </c>
      <c r="C163" s="1" t="s">
        <v>2248</v>
      </c>
      <c r="D163" s="1" t="s">
        <v>2250</v>
      </c>
      <c r="E163" s="1" t="s">
        <v>2277</v>
      </c>
      <c r="F163" s="1" t="s">
        <v>2234</v>
      </c>
      <c r="K163" s="2" t="s">
        <v>2603</v>
      </c>
      <c r="L163" s="2" t="s">
        <v>1915</v>
      </c>
      <c r="M163" s="1" t="s">
        <v>2467</v>
      </c>
      <c r="O163" s="5" t="s">
        <v>2447</v>
      </c>
      <c r="P163" s="1" t="s">
        <v>2225</v>
      </c>
      <c r="Q163" s="1">
        <v>162</v>
      </c>
      <c r="R163" s="1">
        <f t="shared" si="4"/>
        <v>1</v>
      </c>
    </row>
    <row r="164" spans="1:18">
      <c r="A164" s="1" t="s">
        <v>19</v>
      </c>
      <c r="B164" s="1" t="s">
        <v>709</v>
      </c>
      <c r="C164" s="1" t="s">
        <v>266</v>
      </c>
      <c r="D164" s="1" t="s">
        <v>2251</v>
      </c>
      <c r="E164" s="1" t="s">
        <v>1567</v>
      </c>
      <c r="F164" s="1" t="s">
        <v>1029</v>
      </c>
      <c r="L164" s="1" t="s">
        <v>2552</v>
      </c>
      <c r="M164" s="1" t="s">
        <v>2466</v>
      </c>
      <c r="O164" s="5" t="s">
        <v>2448</v>
      </c>
      <c r="P164" s="1" t="s">
        <v>1982</v>
      </c>
      <c r="Q164" s="1">
        <v>163</v>
      </c>
      <c r="R164" s="1">
        <f t="shared" si="4"/>
        <v>2</v>
      </c>
    </row>
    <row r="165" spans="1:18" ht="31.2">
      <c r="A165" s="1" t="s">
        <v>19</v>
      </c>
      <c r="B165" s="1" t="s">
        <v>709</v>
      </c>
      <c r="C165" s="1" t="s">
        <v>2249</v>
      </c>
      <c r="D165" s="1" t="s">
        <v>2464</v>
      </c>
      <c r="E165" s="1" t="s">
        <v>140</v>
      </c>
      <c r="F165" s="1" t="s">
        <v>1057</v>
      </c>
      <c r="K165" s="1" t="s">
        <v>2501</v>
      </c>
      <c r="M165" s="1" t="s">
        <v>2465</v>
      </c>
      <c r="O165" s="5" t="s">
        <v>2449</v>
      </c>
      <c r="Q165" s="1">
        <v>164</v>
      </c>
      <c r="R165" s="1">
        <f t="shared" si="4"/>
        <v>4</v>
      </c>
    </row>
    <row r="166" spans="1:18" ht="31.2">
      <c r="A166" s="1" t="s">
        <v>19</v>
      </c>
      <c r="B166" s="1" t="s">
        <v>709</v>
      </c>
      <c r="C166" s="1" t="s">
        <v>2249</v>
      </c>
      <c r="D166" s="1" t="s">
        <v>2182</v>
      </c>
      <c r="E166" s="1" t="s">
        <v>140</v>
      </c>
      <c r="F166" s="1" t="s">
        <v>2238</v>
      </c>
      <c r="L166" s="1" t="s">
        <v>2574</v>
      </c>
      <c r="M166" s="1" t="s">
        <v>2463</v>
      </c>
      <c r="O166" s="5" t="s">
        <v>2450</v>
      </c>
      <c r="P166" s="1" t="s">
        <v>2132</v>
      </c>
      <c r="Q166" s="1">
        <v>165</v>
      </c>
      <c r="R166" s="1">
        <f t="shared" si="4"/>
        <v>1</v>
      </c>
    </row>
    <row r="167" spans="1:18" ht="31.2">
      <c r="A167" s="1" t="s">
        <v>19</v>
      </c>
      <c r="B167" s="1" t="s">
        <v>122</v>
      </c>
      <c r="C167" s="1" t="s">
        <v>133</v>
      </c>
      <c r="D167" s="1" t="s">
        <v>2183</v>
      </c>
      <c r="E167" s="1" t="s">
        <v>90</v>
      </c>
      <c r="F167" s="1" t="s">
        <v>2240</v>
      </c>
      <c r="L167" s="1" t="s">
        <v>1919</v>
      </c>
      <c r="M167" s="1" t="s">
        <v>2462</v>
      </c>
      <c r="O167" s="5" t="s">
        <v>2451</v>
      </c>
      <c r="P167" s="1" t="s">
        <v>2079</v>
      </c>
      <c r="Q167" s="1">
        <v>166</v>
      </c>
      <c r="R167" s="1">
        <f t="shared" si="4"/>
        <v>1</v>
      </c>
    </row>
    <row r="168" spans="1:18" ht="31.2">
      <c r="A168" s="1" t="s">
        <v>19</v>
      </c>
      <c r="B168" s="1" t="s">
        <v>122</v>
      </c>
      <c r="C168" s="1" t="s">
        <v>133</v>
      </c>
      <c r="D168" s="1" t="s">
        <v>2184</v>
      </c>
      <c r="E168" s="1" t="s">
        <v>133</v>
      </c>
      <c r="F168" s="1" t="s">
        <v>2242</v>
      </c>
      <c r="K168" s="2" t="s">
        <v>2514</v>
      </c>
      <c r="L168" s="2" t="s">
        <v>1919</v>
      </c>
      <c r="M168" s="1" t="s">
        <v>2461</v>
      </c>
      <c r="O168" s="5" t="s">
        <v>2452</v>
      </c>
      <c r="P168" s="1" t="s">
        <v>2220</v>
      </c>
      <c r="Q168" s="1">
        <v>167</v>
      </c>
      <c r="R168" s="1">
        <f t="shared" si="4"/>
        <v>1</v>
      </c>
    </row>
    <row r="169" spans="1:18" ht="31.2">
      <c r="A169" s="1" t="s">
        <v>19</v>
      </c>
      <c r="B169" s="1" t="s">
        <v>122</v>
      </c>
      <c r="C169" s="1" t="s">
        <v>133</v>
      </c>
      <c r="D169" s="1" t="s">
        <v>2185</v>
      </c>
      <c r="E169" s="1" t="s">
        <v>189</v>
      </c>
      <c r="F169" s="1" t="s">
        <v>2244</v>
      </c>
      <c r="K169" s="2" t="s">
        <v>2608</v>
      </c>
      <c r="L169" s="2" t="s">
        <v>1918</v>
      </c>
      <c r="M169" s="1" t="s">
        <v>2460</v>
      </c>
      <c r="O169" s="5" t="s">
        <v>2453</v>
      </c>
      <c r="P169" s="1" t="s">
        <v>2230</v>
      </c>
      <c r="Q169" s="1">
        <v>168</v>
      </c>
      <c r="R169" s="1">
        <f t="shared" si="4"/>
        <v>1</v>
      </c>
    </row>
    <row r="170" spans="1:18" ht="46.8">
      <c r="A170" s="1" t="s">
        <v>19</v>
      </c>
      <c r="B170" s="1" t="s">
        <v>122</v>
      </c>
      <c r="C170" s="1" t="s">
        <v>134</v>
      </c>
      <c r="D170" s="1" t="s">
        <v>2186</v>
      </c>
      <c r="E170" s="1" t="s">
        <v>35</v>
      </c>
      <c r="F170" s="1" t="s">
        <v>2281</v>
      </c>
      <c r="G170" s="1" t="s">
        <v>2308</v>
      </c>
      <c r="K170" s="2" t="s">
        <v>2522</v>
      </c>
      <c r="L170" s="2" t="s">
        <v>2601</v>
      </c>
      <c r="M170" s="1" t="s">
        <v>2459</v>
      </c>
      <c r="O170" s="5" t="s">
        <v>2454</v>
      </c>
      <c r="P170" s="1" t="s">
        <v>1989</v>
      </c>
      <c r="Q170" s="1">
        <v>169</v>
      </c>
      <c r="R170" s="1">
        <f t="shared" si="4"/>
        <v>1</v>
      </c>
    </row>
    <row r="171" spans="1:18" ht="46.8">
      <c r="A171" s="1" t="s">
        <v>19</v>
      </c>
      <c r="B171" s="1" t="s">
        <v>122</v>
      </c>
      <c r="D171" s="1" t="s">
        <v>2284</v>
      </c>
      <c r="E171" s="1" t="s">
        <v>2282</v>
      </c>
      <c r="F171" s="1" t="s">
        <v>2283</v>
      </c>
      <c r="G171" s="1" t="s">
        <v>2313</v>
      </c>
      <c r="K171" s="2" t="s">
        <v>2585</v>
      </c>
      <c r="L171" s="2" t="s">
        <v>1918</v>
      </c>
      <c r="M171" s="1" t="s">
        <v>2458</v>
      </c>
      <c r="O171" s="5" t="s">
        <v>2455</v>
      </c>
      <c r="P171" s="1" t="s">
        <v>2211</v>
      </c>
      <c r="Q171" s="1">
        <v>170</v>
      </c>
      <c r="R171" s="1">
        <f t="shared" si="4"/>
        <v>1</v>
      </c>
    </row>
    <row r="172" spans="1:18" ht="31.2">
      <c r="A172" s="1" t="s">
        <v>19</v>
      </c>
      <c r="B172" s="1" t="s">
        <v>122</v>
      </c>
      <c r="D172" s="1" t="s">
        <v>2078</v>
      </c>
      <c r="E172" s="1" t="s">
        <v>2282</v>
      </c>
      <c r="F172" s="1" t="s">
        <v>1129</v>
      </c>
      <c r="K172" s="2" t="s">
        <v>2598</v>
      </c>
      <c r="L172" s="2" t="s">
        <v>2599</v>
      </c>
      <c r="M172" s="1" t="s">
        <v>2457</v>
      </c>
      <c r="O172" s="5" t="s">
        <v>2456</v>
      </c>
      <c r="P172" s="1" t="s">
        <v>2015</v>
      </c>
      <c r="Q172" s="1">
        <v>171</v>
      </c>
      <c r="R172" s="1">
        <f t="shared" si="4"/>
        <v>1</v>
      </c>
    </row>
  </sheetData>
  <sortState xmlns:xlrd2="http://schemas.microsoft.com/office/spreadsheetml/2017/richdata2" ref="A2:R172">
    <sortCondition ref="Q2:Q172"/>
    <sortCondition ref="A2:A172"/>
    <sortCondition ref="C2:C172"/>
    <sortCondition ref="F2:F172"/>
    <sortCondition ref="B2:B172"/>
  </sortState>
  <phoneticPr fontId="1" type="noConversion"/>
  <conditionalFormatting sqref="F1:G1048576">
    <cfRule type="duplicateValues" dxfId="17" priority="2"/>
  </conditionalFormatting>
  <pageMargins left="0.7" right="0.7" top="0.75" bottom="0.75" header="0.3" footer="0.3"/>
  <pageSetup paperSize="9" orientation="portrait" horizontalDpi="30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7306C-BEAB-4BCE-BE34-FC7EFA2E7EF8}">
  <dimension ref="A1:S172"/>
  <sheetViews>
    <sheetView zoomScaleNormal="10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G4" sqref="G4"/>
    </sheetView>
  </sheetViews>
  <sheetFormatPr defaultRowHeight="17.399999999999999"/>
  <cols>
    <col min="1" max="2" width="4.5" style="1" bestFit="1" customWidth="1"/>
    <col min="3" max="3" width="6.1640625" style="1" bestFit="1" customWidth="1"/>
    <col min="4" max="4" width="7.83203125" style="1" bestFit="1" customWidth="1"/>
    <col min="5" max="5" width="6.1640625" style="1" bestFit="1" customWidth="1"/>
    <col min="6" max="6" width="13.6640625" style="1" customWidth="1"/>
    <col min="7" max="7" width="14.1640625" style="1" customWidth="1"/>
    <col min="8" max="8" width="12.9140625" style="1" customWidth="1"/>
    <col min="9" max="9" width="18.25" style="1" bestFit="1" customWidth="1"/>
    <col min="10" max="10" width="11.83203125" style="1" bestFit="1" customWidth="1"/>
    <col min="11" max="11" width="12.83203125" style="1" customWidth="1"/>
    <col min="12" max="12" width="10" style="1" bestFit="1" customWidth="1"/>
    <col min="13" max="13" width="12.83203125" style="1" customWidth="1"/>
    <col min="14" max="14" width="16.6640625" style="1" bestFit="1" customWidth="1"/>
    <col min="15" max="15" width="64.5" style="5" bestFit="1" customWidth="1"/>
    <col min="16" max="16" width="10.1640625" style="1" customWidth="1"/>
    <col min="17" max="17" width="20.25" style="1" bestFit="1" customWidth="1"/>
    <col min="18" max="18" width="4.1640625" style="1" bestFit="1" customWidth="1"/>
    <col min="19" max="19" width="4.5" style="1" bestFit="1" customWidth="1"/>
    <col min="20" max="16384" width="8.6640625" style="1"/>
  </cols>
  <sheetData>
    <row r="1" spans="1:19">
      <c r="A1" s="1" t="s">
        <v>539</v>
      </c>
      <c r="B1" s="1" t="s">
        <v>2616</v>
      </c>
      <c r="C1" s="1" t="s">
        <v>2615</v>
      </c>
      <c r="D1" s="1" t="s">
        <v>2614</v>
      </c>
      <c r="E1" s="1" t="s">
        <v>141</v>
      </c>
      <c r="F1" s="1" t="s">
        <v>2298</v>
      </c>
      <c r="G1" s="1" t="s">
        <v>19</v>
      </c>
      <c r="H1" s="1" t="s">
        <v>2632</v>
      </c>
      <c r="I1" s="1" t="s">
        <v>1920</v>
      </c>
      <c r="J1" s="1" t="s">
        <v>2617</v>
      </c>
      <c r="K1" s="1" t="s">
        <v>2545</v>
      </c>
      <c r="L1" s="1" t="s">
        <v>1899</v>
      </c>
      <c r="N1" s="1" t="s">
        <v>1792</v>
      </c>
      <c r="P1" s="1" t="s">
        <v>1770</v>
      </c>
      <c r="Q1" s="1" t="s">
        <v>1758</v>
      </c>
      <c r="R1" s="1" t="s">
        <v>687</v>
      </c>
      <c r="S1" s="1" t="s">
        <v>1488</v>
      </c>
    </row>
    <row r="2" spans="1:19" ht="31.2">
      <c r="A2" s="1" t="s">
        <v>294</v>
      </c>
      <c r="B2" s="1" t="s">
        <v>1745</v>
      </c>
      <c r="C2" s="1" t="s">
        <v>1759</v>
      </c>
      <c r="D2" s="1" t="s">
        <v>1761</v>
      </c>
      <c r="G2" s="1" t="s">
        <v>1772</v>
      </c>
      <c r="I2" s="1" t="s">
        <v>1901</v>
      </c>
      <c r="K2" s="1" t="s">
        <v>2546</v>
      </c>
      <c r="L2" s="1" t="s">
        <v>1902</v>
      </c>
      <c r="N2" s="1" t="s">
        <v>1762</v>
      </c>
      <c r="O2" s="5" t="s">
        <v>1873</v>
      </c>
      <c r="R2" s="1">
        <v>1</v>
      </c>
      <c r="S2" s="1">
        <f t="shared" ref="S2:S26" si="0">COUNTIF(F:P,N2)</f>
        <v>1</v>
      </c>
    </row>
    <row r="3" spans="1:19" s="7" customFormat="1" ht="31.2">
      <c r="A3" s="1" t="s">
        <v>294</v>
      </c>
      <c r="B3" s="1" t="s">
        <v>1745</v>
      </c>
      <c r="C3" s="1" t="s">
        <v>1759</v>
      </c>
      <c r="D3" s="1" t="s">
        <v>1763</v>
      </c>
      <c r="E3" s="1"/>
      <c r="F3" s="1"/>
      <c r="G3" s="1" t="s">
        <v>1773</v>
      </c>
      <c r="H3" s="1"/>
      <c r="I3" s="1" t="s">
        <v>608</v>
      </c>
      <c r="J3" s="2" t="s">
        <v>2603</v>
      </c>
      <c r="K3" s="2" t="s">
        <v>2576</v>
      </c>
      <c r="L3" s="1" t="s">
        <v>1903</v>
      </c>
      <c r="M3" s="1"/>
      <c r="N3" s="1" t="s">
        <v>595</v>
      </c>
      <c r="O3" s="5" t="s">
        <v>1898</v>
      </c>
      <c r="P3" s="1"/>
      <c r="Q3" s="1" t="s">
        <v>1976</v>
      </c>
      <c r="R3" s="1">
        <v>2</v>
      </c>
      <c r="S3" s="1">
        <f t="shared" si="0"/>
        <v>2</v>
      </c>
    </row>
    <row r="4" spans="1:19" s="13" customFormat="1" ht="46.8">
      <c r="A4" s="1" t="s">
        <v>294</v>
      </c>
      <c r="B4" s="1" t="s">
        <v>1745</v>
      </c>
      <c r="C4" s="1" t="s">
        <v>1759</v>
      </c>
      <c r="D4" s="1" t="s">
        <v>1764</v>
      </c>
      <c r="E4" s="1" t="s">
        <v>1769</v>
      </c>
      <c r="F4" s="1"/>
      <c r="G4" s="1"/>
      <c r="H4" s="1"/>
      <c r="I4" s="1" t="s">
        <v>1908</v>
      </c>
      <c r="J4" s="1"/>
      <c r="K4" s="1" t="s">
        <v>2547</v>
      </c>
      <c r="L4" s="1" t="s">
        <v>1904</v>
      </c>
      <c r="M4" s="1"/>
      <c r="N4" s="1" t="s">
        <v>1765</v>
      </c>
      <c r="O4" s="5" t="s">
        <v>1874</v>
      </c>
      <c r="P4" s="1"/>
      <c r="Q4" s="1" t="s">
        <v>2222</v>
      </c>
      <c r="R4" s="1">
        <v>3</v>
      </c>
      <c r="S4" s="1">
        <f t="shared" si="0"/>
        <v>1</v>
      </c>
    </row>
    <row r="5" spans="1:19" s="13" customFormat="1" ht="34.799999999999997">
      <c r="A5" s="1" t="s">
        <v>294</v>
      </c>
      <c r="B5" s="1" t="s">
        <v>1745</v>
      </c>
      <c r="C5" s="1" t="s">
        <v>1760</v>
      </c>
      <c r="D5" s="1" t="s">
        <v>1718</v>
      </c>
      <c r="E5" s="1"/>
      <c r="F5" s="1"/>
      <c r="G5" s="1"/>
      <c r="H5" s="1"/>
      <c r="I5" s="2" t="s">
        <v>1937</v>
      </c>
      <c r="J5" s="1" t="s">
        <v>2608</v>
      </c>
      <c r="K5" s="1" t="s">
        <v>2548</v>
      </c>
      <c r="L5" s="1" t="s">
        <v>1907</v>
      </c>
      <c r="M5" s="1" t="s">
        <v>1771</v>
      </c>
      <c r="N5" s="1" t="s">
        <v>588</v>
      </c>
      <c r="O5" s="5" t="s">
        <v>1875</v>
      </c>
      <c r="P5" s="1"/>
      <c r="Q5" s="1" t="s">
        <v>1999</v>
      </c>
      <c r="R5" s="1">
        <v>4</v>
      </c>
      <c r="S5" s="1">
        <f t="shared" si="0"/>
        <v>1</v>
      </c>
    </row>
    <row r="6" spans="1:19" s="7" customFormat="1">
      <c r="A6" s="22" t="s">
        <v>294</v>
      </c>
      <c r="B6" s="22" t="s">
        <v>1745</v>
      </c>
      <c r="C6" s="22" t="s">
        <v>1760</v>
      </c>
      <c r="D6" s="22" t="s">
        <v>1767</v>
      </c>
      <c r="E6" s="22"/>
      <c r="F6" s="22"/>
      <c r="G6" s="22"/>
      <c r="H6" s="22" t="s">
        <v>2659</v>
      </c>
      <c r="I6" s="22"/>
      <c r="J6" s="22" t="s">
        <v>2501</v>
      </c>
      <c r="K6" s="22" t="s">
        <v>2501</v>
      </c>
      <c r="L6" s="22" t="s">
        <v>2465</v>
      </c>
      <c r="M6" s="22"/>
      <c r="N6" s="22" t="s">
        <v>1768</v>
      </c>
      <c r="O6" s="24" t="s">
        <v>1876</v>
      </c>
      <c r="P6" s="22"/>
      <c r="Q6" s="22" t="s">
        <v>2128</v>
      </c>
      <c r="R6" s="22">
        <v>5</v>
      </c>
      <c r="S6" s="22">
        <f t="shared" si="0"/>
        <v>1</v>
      </c>
    </row>
    <row r="7" spans="1:19" s="13" customFormat="1" ht="31.2">
      <c r="A7" s="1" t="s">
        <v>294</v>
      </c>
      <c r="B7" s="1" t="s">
        <v>1746</v>
      </c>
      <c r="C7" s="1" t="s">
        <v>1759</v>
      </c>
      <c r="D7" s="1" t="s">
        <v>1761</v>
      </c>
      <c r="E7" s="1"/>
      <c r="F7" s="1" t="s">
        <v>612</v>
      </c>
      <c r="G7" s="1"/>
      <c r="H7" s="1"/>
      <c r="I7" s="1" t="s">
        <v>1780</v>
      </c>
      <c r="J7" s="1"/>
      <c r="K7" s="1" t="s">
        <v>1919</v>
      </c>
      <c r="L7" s="1" t="s">
        <v>1902</v>
      </c>
      <c r="M7" s="1" t="s">
        <v>1909</v>
      </c>
      <c r="N7" s="1" t="s">
        <v>2290</v>
      </c>
      <c r="O7" s="5" t="s">
        <v>1877</v>
      </c>
      <c r="P7" s="1"/>
      <c r="Q7" s="1" t="s">
        <v>2196</v>
      </c>
      <c r="R7" s="1">
        <v>6</v>
      </c>
      <c r="S7" s="1">
        <f t="shared" si="0"/>
        <v>1</v>
      </c>
    </row>
    <row r="8" spans="1:19" s="13" customFormat="1" ht="31.2">
      <c r="A8" s="13" t="s">
        <v>294</v>
      </c>
      <c r="B8" s="13" t="s">
        <v>1746</v>
      </c>
      <c r="C8" s="13" t="s">
        <v>1759</v>
      </c>
      <c r="D8" s="13" t="s">
        <v>1763</v>
      </c>
      <c r="H8" s="13" t="s">
        <v>2652</v>
      </c>
      <c r="K8" s="13" t="s">
        <v>1915</v>
      </c>
      <c r="L8" s="13" t="s">
        <v>1916</v>
      </c>
      <c r="M8" s="13" t="s">
        <v>1779</v>
      </c>
      <c r="N8" s="13" t="s">
        <v>590</v>
      </c>
      <c r="O8" s="15" t="s">
        <v>1878</v>
      </c>
      <c r="R8" s="13">
        <v>7</v>
      </c>
      <c r="S8" s="13">
        <f t="shared" si="0"/>
        <v>3</v>
      </c>
    </row>
    <row r="9" spans="1:19" s="13" customFormat="1" ht="46.8">
      <c r="A9" s="1" t="s">
        <v>294</v>
      </c>
      <c r="B9" s="1" t="s">
        <v>1746</v>
      </c>
      <c r="C9" s="1" t="s">
        <v>1759</v>
      </c>
      <c r="D9" s="1" t="s">
        <v>2629</v>
      </c>
      <c r="E9" s="1"/>
      <c r="F9" s="1"/>
      <c r="G9" s="1"/>
      <c r="H9" s="1"/>
      <c r="I9" s="1" t="s">
        <v>1914</v>
      </c>
      <c r="J9" s="2" t="s">
        <v>2602</v>
      </c>
      <c r="K9" s="2" t="s">
        <v>2577</v>
      </c>
      <c r="L9" s="1" t="s">
        <v>1903</v>
      </c>
      <c r="M9" s="1" t="s">
        <v>1913</v>
      </c>
      <c r="N9" s="2" t="s">
        <v>1782</v>
      </c>
      <c r="O9" s="5" t="s">
        <v>1879</v>
      </c>
      <c r="P9" s="1"/>
      <c r="Q9" s="1" t="s">
        <v>2094</v>
      </c>
      <c r="R9" s="1">
        <v>8</v>
      </c>
      <c r="S9" s="1">
        <f t="shared" si="0"/>
        <v>1</v>
      </c>
    </row>
    <row r="10" spans="1:19" ht="46.8">
      <c r="A10" s="13" t="s">
        <v>294</v>
      </c>
      <c r="B10" s="13" t="s">
        <v>1746</v>
      </c>
      <c r="C10" s="13" t="s">
        <v>1778</v>
      </c>
      <c r="D10" s="13" t="s">
        <v>1950</v>
      </c>
      <c r="E10" s="13"/>
      <c r="F10" s="13" t="s">
        <v>1135</v>
      </c>
      <c r="G10" s="13"/>
      <c r="H10" s="13" t="s">
        <v>2658</v>
      </c>
      <c r="I10" s="13" t="s">
        <v>1785</v>
      </c>
      <c r="J10" s="13"/>
      <c r="K10" s="13" t="s">
        <v>1918</v>
      </c>
      <c r="L10" s="13" t="s">
        <v>1910</v>
      </c>
      <c r="M10" s="13" t="s">
        <v>1911</v>
      </c>
      <c r="N10" s="13" t="s">
        <v>2286</v>
      </c>
      <c r="O10" s="15" t="s">
        <v>1880</v>
      </c>
      <c r="P10" s="13"/>
      <c r="Q10" s="13" t="s">
        <v>2019</v>
      </c>
      <c r="R10" s="13">
        <v>9</v>
      </c>
      <c r="S10" s="13">
        <f t="shared" si="0"/>
        <v>1</v>
      </c>
    </row>
    <row r="11" spans="1:19" s="7" customFormat="1" ht="46.8">
      <c r="A11" s="13" t="s">
        <v>294</v>
      </c>
      <c r="B11" s="13" t="s">
        <v>1746</v>
      </c>
      <c r="C11" s="13" t="s">
        <v>1778</v>
      </c>
      <c r="D11" s="13" t="s">
        <v>546</v>
      </c>
      <c r="E11" s="13" t="s">
        <v>144</v>
      </c>
      <c r="F11" s="13"/>
      <c r="G11" s="13"/>
      <c r="H11" s="13" t="s">
        <v>2653</v>
      </c>
      <c r="I11" s="13" t="s">
        <v>1781</v>
      </c>
      <c r="J11" s="14" t="s">
        <v>2604</v>
      </c>
      <c r="K11" s="14" t="s">
        <v>2578</v>
      </c>
      <c r="L11" s="13" t="s">
        <v>1917</v>
      </c>
      <c r="M11" s="13" t="s">
        <v>1912</v>
      </c>
      <c r="N11" s="13" t="s">
        <v>542</v>
      </c>
      <c r="O11" s="15" t="s">
        <v>1881</v>
      </c>
      <c r="P11" s="13" t="s">
        <v>1784</v>
      </c>
      <c r="Q11" s="13"/>
      <c r="R11" s="13">
        <v>10</v>
      </c>
      <c r="S11" s="13">
        <f t="shared" si="0"/>
        <v>2</v>
      </c>
    </row>
    <row r="12" spans="1:19" s="13" customFormat="1" ht="31.2">
      <c r="A12" s="22" t="s">
        <v>294</v>
      </c>
      <c r="B12" s="22" t="s">
        <v>1746</v>
      </c>
      <c r="C12" s="22" t="s">
        <v>1778</v>
      </c>
      <c r="D12" s="22" t="s">
        <v>1766</v>
      </c>
      <c r="E12" s="22"/>
      <c r="F12" s="22"/>
      <c r="G12" s="22"/>
      <c r="H12" s="22" t="s">
        <v>2659</v>
      </c>
      <c r="I12" s="22"/>
      <c r="J12" s="22" t="s">
        <v>2501</v>
      </c>
      <c r="K12" s="22" t="s">
        <v>2501</v>
      </c>
      <c r="L12" s="22" t="s">
        <v>2465</v>
      </c>
      <c r="M12" s="22"/>
      <c r="N12" s="22" t="s">
        <v>1783</v>
      </c>
      <c r="O12" s="24" t="s">
        <v>1882</v>
      </c>
      <c r="P12" s="22"/>
      <c r="Q12" s="22" t="s">
        <v>2194</v>
      </c>
      <c r="R12" s="22">
        <v>11</v>
      </c>
      <c r="S12" s="22">
        <f t="shared" si="0"/>
        <v>1</v>
      </c>
    </row>
    <row r="13" spans="1:19" s="13" customFormat="1" ht="46.8">
      <c r="A13" s="1" t="s">
        <v>294</v>
      </c>
      <c r="B13" s="1" t="s">
        <v>1747</v>
      </c>
      <c r="C13" s="1" t="s">
        <v>1788</v>
      </c>
      <c r="D13" s="1" t="s">
        <v>1789</v>
      </c>
      <c r="E13" s="1"/>
      <c r="F13" s="1"/>
      <c r="G13" s="1"/>
      <c r="H13" s="1"/>
      <c r="I13" s="1" t="s">
        <v>1936</v>
      </c>
      <c r="J13" s="1"/>
      <c r="K13" s="1" t="s">
        <v>1923</v>
      </c>
      <c r="L13" s="1" t="s">
        <v>1924</v>
      </c>
      <c r="M13" s="1" t="s">
        <v>1791</v>
      </c>
      <c r="N13" s="1" t="s">
        <v>1795</v>
      </c>
      <c r="O13" s="5" t="s">
        <v>1883</v>
      </c>
      <c r="P13" s="1"/>
      <c r="Q13" s="1" t="s">
        <v>2200</v>
      </c>
      <c r="R13" s="1">
        <v>12</v>
      </c>
      <c r="S13" s="1">
        <f t="shared" si="0"/>
        <v>1</v>
      </c>
    </row>
    <row r="14" spans="1:19" s="13" customFormat="1" ht="46.8">
      <c r="A14" s="1" t="s">
        <v>294</v>
      </c>
      <c r="B14" s="1" t="s">
        <v>1747</v>
      </c>
      <c r="C14" s="1" t="s">
        <v>1788</v>
      </c>
      <c r="D14" s="1" t="s">
        <v>134</v>
      </c>
      <c r="E14" s="1" t="s">
        <v>608</v>
      </c>
      <c r="F14" s="1"/>
      <c r="G14" s="1"/>
      <c r="H14" s="1"/>
      <c r="I14" s="1" t="s">
        <v>1927</v>
      </c>
      <c r="J14" s="1" t="s">
        <v>287</v>
      </c>
      <c r="K14" s="1" t="s">
        <v>2553</v>
      </c>
      <c r="L14" s="1" t="s">
        <v>2639</v>
      </c>
      <c r="M14" s="1" t="s">
        <v>1793</v>
      </c>
      <c r="N14" s="1" t="s">
        <v>1585</v>
      </c>
      <c r="O14" s="5" t="s">
        <v>1884</v>
      </c>
      <c r="P14" s="1"/>
      <c r="Q14" s="1" t="s">
        <v>2012</v>
      </c>
      <c r="R14" s="1">
        <v>13</v>
      </c>
      <c r="S14" s="1">
        <f t="shared" si="0"/>
        <v>1</v>
      </c>
    </row>
    <row r="15" spans="1:19" s="7" customFormat="1" ht="34.799999999999997">
      <c r="A15" s="1" t="s">
        <v>294</v>
      </c>
      <c r="B15" s="1" t="s">
        <v>1747</v>
      </c>
      <c r="C15" s="1" t="s">
        <v>1790</v>
      </c>
      <c r="D15" s="1" t="s">
        <v>1794</v>
      </c>
      <c r="E15" s="1"/>
      <c r="F15" s="1"/>
      <c r="G15" s="1" t="s">
        <v>1798</v>
      </c>
      <c r="H15" s="1"/>
      <c r="I15" s="2" t="s">
        <v>1934</v>
      </c>
      <c r="J15" s="1" t="s">
        <v>2514</v>
      </c>
      <c r="K15" s="1" t="s">
        <v>2548</v>
      </c>
      <c r="L15" s="1" t="s">
        <v>1906</v>
      </c>
      <c r="M15" s="1" t="s">
        <v>1922</v>
      </c>
      <c r="N15" s="1" t="s">
        <v>2289</v>
      </c>
      <c r="O15" s="5" t="s">
        <v>1868</v>
      </c>
      <c r="P15" s="1"/>
      <c r="Q15" s="1"/>
      <c r="R15" s="1">
        <v>14</v>
      </c>
      <c r="S15" s="1">
        <f t="shared" si="0"/>
        <v>2</v>
      </c>
    </row>
    <row r="16" spans="1:19" s="13" customFormat="1" ht="46.8">
      <c r="A16" s="1" t="s">
        <v>294</v>
      </c>
      <c r="B16" s="1" t="s">
        <v>1747</v>
      </c>
      <c r="C16" s="1" t="s">
        <v>1790</v>
      </c>
      <c r="D16" s="1" t="s">
        <v>792</v>
      </c>
      <c r="E16" s="1" t="s">
        <v>1797</v>
      </c>
      <c r="F16" s="1"/>
      <c r="G16" s="1"/>
      <c r="H16" s="1"/>
      <c r="I16" s="2" t="s">
        <v>1935</v>
      </c>
      <c r="J16" s="1" t="s">
        <v>2644</v>
      </c>
      <c r="K16" s="1" t="s">
        <v>2580</v>
      </c>
      <c r="L16" s="1" t="s">
        <v>1926</v>
      </c>
      <c r="M16" s="1" t="s">
        <v>1921</v>
      </c>
      <c r="N16" s="1" t="s">
        <v>1796</v>
      </c>
      <c r="O16" s="5" t="s">
        <v>1869</v>
      </c>
      <c r="P16" s="1"/>
      <c r="Q16" s="1" t="s">
        <v>2089</v>
      </c>
      <c r="R16" s="1">
        <v>15</v>
      </c>
      <c r="S16" s="1">
        <f t="shared" si="0"/>
        <v>1</v>
      </c>
    </row>
    <row r="17" spans="1:19" ht="31.2">
      <c r="A17" s="11" t="s">
        <v>294</v>
      </c>
      <c r="B17" s="11" t="s">
        <v>1748</v>
      </c>
      <c r="C17" s="11" t="s">
        <v>145</v>
      </c>
      <c r="D17" s="11" t="s">
        <v>2656</v>
      </c>
      <c r="E17" s="11"/>
      <c r="F17" s="11"/>
      <c r="G17" s="11"/>
      <c r="H17" s="11" t="s">
        <v>1628</v>
      </c>
      <c r="I17" s="11" t="s">
        <v>1815</v>
      </c>
      <c r="J17" s="28" t="s">
        <v>2581</v>
      </c>
      <c r="K17" s="28" t="s">
        <v>2582</v>
      </c>
      <c r="L17" s="11" t="s">
        <v>1929</v>
      </c>
      <c r="M17" s="11"/>
      <c r="N17" s="11" t="s">
        <v>1628</v>
      </c>
      <c r="O17" s="12" t="s">
        <v>1870</v>
      </c>
      <c r="P17" s="11"/>
      <c r="Q17" s="11" t="s">
        <v>2202</v>
      </c>
      <c r="R17" s="11">
        <v>16</v>
      </c>
      <c r="S17" s="11">
        <f t="shared" si="0"/>
        <v>6</v>
      </c>
    </row>
    <row r="18" spans="1:19" ht="46.8">
      <c r="A18" s="29" t="s">
        <v>294</v>
      </c>
      <c r="B18" s="29" t="s">
        <v>1748</v>
      </c>
      <c r="C18" s="29" t="s">
        <v>145</v>
      </c>
      <c r="D18" s="29" t="s">
        <v>1969</v>
      </c>
      <c r="E18" s="29"/>
      <c r="F18" s="29"/>
      <c r="G18" s="29"/>
      <c r="H18" s="29" t="s">
        <v>2664</v>
      </c>
      <c r="I18" s="29" t="s">
        <v>1814</v>
      </c>
      <c r="J18" s="29" t="s">
        <v>2605</v>
      </c>
      <c r="K18" s="29"/>
      <c r="L18" s="29" t="s">
        <v>1905</v>
      </c>
      <c r="M18" s="29"/>
      <c r="N18" s="29" t="s">
        <v>1645</v>
      </c>
      <c r="O18" s="30" t="s">
        <v>1871</v>
      </c>
      <c r="P18" s="29"/>
      <c r="Q18" s="29"/>
      <c r="R18" s="29">
        <v>17</v>
      </c>
      <c r="S18" s="29">
        <f t="shared" si="0"/>
        <v>3</v>
      </c>
    </row>
    <row r="19" spans="1:19" ht="31.2">
      <c r="A19" s="1" t="s">
        <v>294</v>
      </c>
      <c r="B19" s="1" t="s">
        <v>1748</v>
      </c>
      <c r="C19" s="1" t="s">
        <v>544</v>
      </c>
      <c r="D19" s="1" t="s">
        <v>1761</v>
      </c>
      <c r="G19" s="1" t="s">
        <v>1809</v>
      </c>
      <c r="I19" s="1" t="s">
        <v>1812</v>
      </c>
      <c r="K19" s="1" t="s">
        <v>1933</v>
      </c>
      <c r="L19" s="1" t="s">
        <v>1902</v>
      </c>
      <c r="M19" s="1" t="s">
        <v>1928</v>
      </c>
      <c r="N19" s="1" t="s">
        <v>600</v>
      </c>
      <c r="O19" s="5" t="s">
        <v>1885</v>
      </c>
      <c r="Q19" s="1" t="s">
        <v>2104</v>
      </c>
      <c r="R19" s="1">
        <v>18</v>
      </c>
      <c r="S19" s="1">
        <f t="shared" si="0"/>
        <v>1</v>
      </c>
    </row>
    <row r="20" spans="1:19" ht="31.2">
      <c r="A20" s="1" t="s">
        <v>294</v>
      </c>
      <c r="B20" s="1" t="s">
        <v>1748</v>
      </c>
      <c r="C20" s="1" t="s">
        <v>544</v>
      </c>
      <c r="D20" s="1" t="s">
        <v>1802</v>
      </c>
      <c r="I20" s="1" t="s">
        <v>608</v>
      </c>
      <c r="J20" s="2"/>
      <c r="K20" s="2" t="s">
        <v>2583</v>
      </c>
      <c r="L20" s="1" t="s">
        <v>1930</v>
      </c>
      <c r="N20" s="1" t="s">
        <v>597</v>
      </c>
      <c r="O20" s="5" t="s">
        <v>1886</v>
      </c>
      <c r="Q20" s="1" t="s">
        <v>2105</v>
      </c>
      <c r="R20" s="1">
        <v>19</v>
      </c>
      <c r="S20" s="1">
        <f t="shared" si="0"/>
        <v>1</v>
      </c>
    </row>
    <row r="21" spans="1:19" ht="31.2">
      <c r="A21" s="13" t="s">
        <v>294</v>
      </c>
      <c r="B21" s="13" t="s">
        <v>1748</v>
      </c>
      <c r="C21" s="13" t="s">
        <v>544</v>
      </c>
      <c r="D21" s="13" t="s">
        <v>1805</v>
      </c>
      <c r="E21" s="13"/>
      <c r="F21" s="13"/>
      <c r="G21" s="13"/>
      <c r="H21" s="13" t="s">
        <v>2658</v>
      </c>
      <c r="I21" s="13" t="s">
        <v>1785</v>
      </c>
      <c r="J21" s="13"/>
      <c r="K21" s="13" t="s">
        <v>1918</v>
      </c>
      <c r="L21" s="13" t="s">
        <v>2641</v>
      </c>
      <c r="M21" s="13"/>
      <c r="N21" s="13" t="s">
        <v>1807</v>
      </c>
      <c r="O21" s="15" t="s">
        <v>1887</v>
      </c>
      <c r="P21" s="13"/>
      <c r="Q21" s="13" t="s">
        <v>2017</v>
      </c>
      <c r="R21" s="13">
        <v>20</v>
      </c>
      <c r="S21" s="13">
        <f t="shared" si="0"/>
        <v>1</v>
      </c>
    </row>
    <row r="22" spans="1:19" s="7" customFormat="1" ht="31.2">
      <c r="A22" s="1" t="s">
        <v>294</v>
      </c>
      <c r="B22" s="1" t="s">
        <v>1748</v>
      </c>
      <c r="C22" s="1" t="s">
        <v>544</v>
      </c>
      <c r="D22" s="1" t="s">
        <v>1806</v>
      </c>
      <c r="E22" s="1"/>
      <c r="F22" s="1"/>
      <c r="G22" s="1" t="s">
        <v>1816</v>
      </c>
      <c r="H22" s="1"/>
      <c r="I22" s="1" t="s">
        <v>1813</v>
      </c>
      <c r="J22" s="1"/>
      <c r="K22" s="1" t="s">
        <v>1932</v>
      </c>
      <c r="L22" s="1" t="s">
        <v>1917</v>
      </c>
      <c r="M22" s="1"/>
      <c r="N22" s="1" t="s">
        <v>1808</v>
      </c>
      <c r="O22" s="5" t="s">
        <v>1888</v>
      </c>
      <c r="P22" s="1"/>
      <c r="Q22" s="1" t="s">
        <v>2216</v>
      </c>
      <c r="R22" s="1">
        <v>21</v>
      </c>
      <c r="S22" s="1">
        <f t="shared" si="0"/>
        <v>1</v>
      </c>
    </row>
    <row r="23" spans="1:19" s="7" customFormat="1" ht="31.2">
      <c r="A23" s="7" t="s">
        <v>294</v>
      </c>
      <c r="B23" s="7" t="s">
        <v>1817</v>
      </c>
      <c r="C23" s="7" t="s">
        <v>1821</v>
      </c>
      <c r="E23" s="7" t="s">
        <v>376</v>
      </c>
      <c r="J23" s="7" t="s">
        <v>2515</v>
      </c>
      <c r="N23" s="7" t="s">
        <v>595</v>
      </c>
      <c r="O23" s="8" t="s">
        <v>1889</v>
      </c>
      <c r="Q23" s="7" t="s">
        <v>1980</v>
      </c>
      <c r="R23" s="7">
        <v>22</v>
      </c>
      <c r="S23" s="7">
        <f t="shared" si="0"/>
        <v>2</v>
      </c>
    </row>
    <row r="24" spans="1:19" s="7" customFormat="1" ht="31.2">
      <c r="A24" s="7" t="s">
        <v>294</v>
      </c>
      <c r="B24" s="7" t="s">
        <v>1817</v>
      </c>
      <c r="C24" s="7" t="s">
        <v>1822</v>
      </c>
      <c r="J24" s="7" t="s">
        <v>2515</v>
      </c>
      <c r="N24" s="7" t="s">
        <v>1519</v>
      </c>
      <c r="O24" s="8" t="s">
        <v>1890</v>
      </c>
      <c r="Q24" s="7" t="s">
        <v>2217</v>
      </c>
      <c r="R24" s="7">
        <v>23</v>
      </c>
      <c r="S24" s="7">
        <f t="shared" si="0"/>
        <v>1</v>
      </c>
    </row>
    <row r="25" spans="1:19" ht="31.2">
      <c r="A25" s="7" t="s">
        <v>294</v>
      </c>
      <c r="B25" s="7" t="s">
        <v>1817</v>
      </c>
      <c r="C25" s="7" t="s">
        <v>1823</v>
      </c>
      <c r="D25" s="7"/>
      <c r="E25" s="7"/>
      <c r="F25" s="7"/>
      <c r="G25" s="7"/>
      <c r="H25" s="7"/>
      <c r="I25" s="7"/>
      <c r="J25" s="7" t="s">
        <v>2515</v>
      </c>
      <c r="K25" s="7"/>
      <c r="L25" s="7"/>
      <c r="M25" s="7"/>
      <c r="N25" s="7" t="s">
        <v>1825</v>
      </c>
      <c r="O25" s="8" t="s">
        <v>1891</v>
      </c>
      <c r="P25" s="7"/>
      <c r="Q25" s="7" t="s">
        <v>2091</v>
      </c>
      <c r="R25" s="7">
        <v>24</v>
      </c>
      <c r="S25" s="7">
        <f t="shared" si="0"/>
        <v>1</v>
      </c>
    </row>
    <row r="26" spans="1:19" s="13" customFormat="1" ht="62.4">
      <c r="A26" s="7" t="s">
        <v>294</v>
      </c>
      <c r="B26" s="7" t="s">
        <v>1817</v>
      </c>
      <c r="C26" s="7" t="s">
        <v>1824</v>
      </c>
      <c r="D26" s="7"/>
      <c r="E26" s="7" t="s">
        <v>1767</v>
      </c>
      <c r="F26" s="7"/>
      <c r="G26" s="7"/>
      <c r="H26" s="7"/>
      <c r="I26" s="7"/>
      <c r="J26" s="7" t="s">
        <v>2515</v>
      </c>
      <c r="K26" s="7"/>
      <c r="L26" s="7"/>
      <c r="M26" s="7"/>
      <c r="N26" s="7" t="s">
        <v>1826</v>
      </c>
      <c r="O26" s="8" t="s">
        <v>1892</v>
      </c>
      <c r="P26" s="7"/>
      <c r="Q26" s="7" t="s">
        <v>2197</v>
      </c>
      <c r="R26" s="7">
        <v>25</v>
      </c>
      <c r="S26" s="7">
        <f t="shared" si="0"/>
        <v>1</v>
      </c>
    </row>
    <row r="27" spans="1:19" s="13" customFormat="1" ht="31.2">
      <c r="A27" s="25" t="s">
        <v>541</v>
      </c>
      <c r="B27" s="25" t="s">
        <v>1749</v>
      </c>
      <c r="C27" s="25" t="s">
        <v>544</v>
      </c>
      <c r="D27" s="25" t="s">
        <v>2627</v>
      </c>
      <c r="E27" s="25" t="s">
        <v>1836</v>
      </c>
      <c r="F27" s="25" t="s">
        <v>2288</v>
      </c>
      <c r="G27" s="25" t="s">
        <v>1834</v>
      </c>
      <c r="H27" s="25" t="s">
        <v>1836</v>
      </c>
      <c r="I27" s="25" t="s">
        <v>1943</v>
      </c>
      <c r="J27" s="27" t="s">
        <v>2557</v>
      </c>
      <c r="K27" s="27"/>
      <c r="L27" s="25" t="s">
        <v>1938</v>
      </c>
      <c r="M27" s="25"/>
      <c r="N27" s="27" t="s">
        <v>2302</v>
      </c>
      <c r="O27" s="26" t="s">
        <v>1872</v>
      </c>
      <c r="P27" s="25"/>
      <c r="Q27" s="25" t="s">
        <v>2217</v>
      </c>
      <c r="R27" s="25">
        <v>26</v>
      </c>
      <c r="S27" s="25">
        <f>COUNTIF(F:P,F27)</f>
        <v>2</v>
      </c>
    </row>
    <row r="28" spans="1:19" ht="31.2">
      <c r="A28" s="1" t="s">
        <v>541</v>
      </c>
      <c r="B28" s="1" t="s">
        <v>1749</v>
      </c>
      <c r="C28" s="1" t="s">
        <v>544</v>
      </c>
      <c r="D28" s="1" t="s">
        <v>1858</v>
      </c>
      <c r="E28" s="1" t="s">
        <v>486</v>
      </c>
      <c r="I28" s="1" t="s">
        <v>1949</v>
      </c>
      <c r="J28" s="2" t="s">
        <v>2606</v>
      </c>
      <c r="K28" s="2" t="s">
        <v>1923</v>
      </c>
      <c r="L28" s="1" t="s">
        <v>1939</v>
      </c>
      <c r="N28" s="1" t="s">
        <v>1667</v>
      </c>
      <c r="O28" s="5" t="s">
        <v>1893</v>
      </c>
      <c r="P28" s="1" t="s">
        <v>1837</v>
      </c>
      <c r="R28" s="1">
        <v>27</v>
      </c>
      <c r="S28" s="1">
        <f t="shared" ref="S28:S59" si="1">COUNTIF(F:P,N28)</f>
        <v>2</v>
      </c>
    </row>
    <row r="29" spans="1:19" ht="34.799999999999997">
      <c r="A29" s="1" t="s">
        <v>541</v>
      </c>
      <c r="B29" s="1" t="s">
        <v>1749</v>
      </c>
      <c r="C29" s="1" t="s">
        <v>145</v>
      </c>
      <c r="D29" s="1" t="s">
        <v>1857</v>
      </c>
      <c r="E29" s="1" t="s">
        <v>410</v>
      </c>
      <c r="F29" s="1" t="s">
        <v>2296</v>
      </c>
      <c r="I29" s="1" t="s">
        <v>1789</v>
      </c>
      <c r="J29" s="1" t="s">
        <v>2475</v>
      </c>
      <c r="K29" s="1" t="s">
        <v>2548</v>
      </c>
      <c r="L29" s="2" t="s">
        <v>1940</v>
      </c>
      <c r="N29" s="1" t="s">
        <v>2288</v>
      </c>
      <c r="O29" s="5" t="s">
        <v>1894</v>
      </c>
      <c r="P29" s="1" t="s">
        <v>1838</v>
      </c>
      <c r="Q29" s="1" t="s">
        <v>2086</v>
      </c>
      <c r="R29" s="1">
        <v>28</v>
      </c>
      <c r="S29" s="1">
        <f t="shared" si="1"/>
        <v>2</v>
      </c>
    </row>
    <row r="30" spans="1:19" ht="31.2">
      <c r="A30" s="1" t="s">
        <v>541</v>
      </c>
      <c r="B30" s="1" t="s">
        <v>1749</v>
      </c>
      <c r="C30" s="1" t="s">
        <v>145</v>
      </c>
      <c r="D30" s="1" t="s">
        <v>1854</v>
      </c>
      <c r="E30" s="1" t="s">
        <v>88</v>
      </c>
      <c r="I30" s="1" t="s">
        <v>1947</v>
      </c>
      <c r="K30" s="1" t="s">
        <v>1919</v>
      </c>
      <c r="L30" s="1" t="s">
        <v>1941</v>
      </c>
      <c r="N30" s="1" t="s">
        <v>2285</v>
      </c>
      <c r="O30" s="5" t="s">
        <v>1895</v>
      </c>
      <c r="R30" s="1">
        <v>29</v>
      </c>
      <c r="S30" s="1">
        <f t="shared" si="1"/>
        <v>2</v>
      </c>
    </row>
    <row r="31" spans="1:19" ht="34.799999999999997">
      <c r="A31" s="7" t="s">
        <v>541</v>
      </c>
      <c r="B31" s="7" t="s">
        <v>1749</v>
      </c>
      <c r="C31" s="7" t="s">
        <v>145</v>
      </c>
      <c r="D31" s="7" t="s">
        <v>1855</v>
      </c>
      <c r="E31" s="7" t="s">
        <v>184</v>
      </c>
      <c r="F31" s="7"/>
      <c r="G31" s="7"/>
      <c r="H31" s="7" t="s">
        <v>2646</v>
      </c>
      <c r="I31" s="7" t="s">
        <v>1948</v>
      </c>
      <c r="J31" s="7" t="s">
        <v>1942</v>
      </c>
      <c r="K31" s="7"/>
      <c r="L31" s="7" t="s">
        <v>1906</v>
      </c>
      <c r="M31" s="10" t="s">
        <v>1944</v>
      </c>
      <c r="N31" s="7" t="s">
        <v>1055</v>
      </c>
      <c r="O31" s="8" t="s">
        <v>1896</v>
      </c>
      <c r="P31" s="7"/>
      <c r="Q31" s="7"/>
      <c r="R31" s="7">
        <v>30</v>
      </c>
      <c r="S31" s="7">
        <f t="shared" si="1"/>
        <v>9</v>
      </c>
    </row>
    <row r="32" spans="1:19" ht="31.2">
      <c r="A32" s="22" t="s">
        <v>541</v>
      </c>
      <c r="B32" s="22" t="s">
        <v>1749</v>
      </c>
      <c r="C32" s="22" t="s">
        <v>145</v>
      </c>
      <c r="D32" s="22" t="s">
        <v>1767</v>
      </c>
      <c r="E32" s="22" t="s">
        <v>409</v>
      </c>
      <c r="F32" s="22" t="s">
        <v>1073</v>
      </c>
      <c r="G32" s="22"/>
      <c r="H32" s="22" t="s">
        <v>2660</v>
      </c>
      <c r="I32" s="22" t="s">
        <v>1946</v>
      </c>
      <c r="J32" s="22" t="s">
        <v>2501</v>
      </c>
      <c r="K32" s="22" t="s">
        <v>2501</v>
      </c>
      <c r="L32" s="22" t="s">
        <v>2465</v>
      </c>
      <c r="M32" s="22" t="s">
        <v>1945</v>
      </c>
      <c r="N32" s="22" t="s">
        <v>1525</v>
      </c>
      <c r="O32" s="24" t="s">
        <v>1897</v>
      </c>
      <c r="P32" s="22"/>
      <c r="Q32" s="22" t="s">
        <v>2216</v>
      </c>
      <c r="R32" s="22">
        <v>31</v>
      </c>
      <c r="S32" s="22">
        <f t="shared" si="1"/>
        <v>2</v>
      </c>
    </row>
    <row r="33" spans="1:19" ht="31.2">
      <c r="A33" s="11" t="s">
        <v>541</v>
      </c>
      <c r="B33" s="11" t="s">
        <v>1751</v>
      </c>
      <c r="C33" s="11" t="s">
        <v>145</v>
      </c>
      <c r="D33" s="11" t="s">
        <v>1859</v>
      </c>
      <c r="E33" s="11" t="s">
        <v>88</v>
      </c>
      <c r="F33" s="11" t="s">
        <v>2307</v>
      </c>
      <c r="G33" s="11"/>
      <c r="H33" s="11" t="s">
        <v>1628</v>
      </c>
      <c r="I33" s="11"/>
      <c r="J33" s="11"/>
      <c r="K33" s="11" t="s">
        <v>1919</v>
      </c>
      <c r="L33" s="11" t="s">
        <v>2487</v>
      </c>
      <c r="M33" s="11"/>
      <c r="N33" s="11" t="s">
        <v>1628</v>
      </c>
      <c r="O33" s="12" t="s">
        <v>2349</v>
      </c>
      <c r="P33" s="11"/>
      <c r="Q33" s="11" t="s">
        <v>2204</v>
      </c>
      <c r="R33" s="11">
        <v>32</v>
      </c>
      <c r="S33" s="11">
        <f t="shared" si="1"/>
        <v>6</v>
      </c>
    </row>
    <row r="34" spans="1:19" ht="31.2">
      <c r="A34" s="1" t="s">
        <v>541</v>
      </c>
      <c r="B34" s="1" t="s">
        <v>1751</v>
      </c>
      <c r="C34" s="1" t="s">
        <v>145</v>
      </c>
      <c r="D34" s="1" t="s">
        <v>1860</v>
      </c>
      <c r="E34" s="1" t="s">
        <v>410</v>
      </c>
      <c r="F34" s="1" t="s">
        <v>2315</v>
      </c>
      <c r="K34" s="1" t="s">
        <v>2549</v>
      </c>
      <c r="L34" s="1" t="s">
        <v>2488</v>
      </c>
      <c r="N34" s="1" t="s">
        <v>2297</v>
      </c>
      <c r="O34" s="5" t="s">
        <v>2350</v>
      </c>
      <c r="Q34" s="1" t="s">
        <v>1996</v>
      </c>
      <c r="R34" s="1">
        <v>33</v>
      </c>
      <c r="S34" s="1">
        <f t="shared" si="1"/>
        <v>3</v>
      </c>
    </row>
    <row r="35" spans="1:19" ht="46.8">
      <c r="A35" s="7" t="s">
        <v>541</v>
      </c>
      <c r="B35" s="7" t="s">
        <v>1751</v>
      </c>
      <c r="C35" s="7" t="s">
        <v>544</v>
      </c>
      <c r="D35" s="7" t="s">
        <v>2027</v>
      </c>
      <c r="E35" s="7" t="s">
        <v>1836</v>
      </c>
      <c r="F35" s="7"/>
      <c r="G35" s="7"/>
      <c r="H35" s="7" t="s">
        <v>2654</v>
      </c>
      <c r="I35" s="7"/>
      <c r="J35" s="10" t="s">
        <v>2630</v>
      </c>
      <c r="K35" s="7" t="s">
        <v>1932</v>
      </c>
      <c r="L35" s="7" t="s">
        <v>2458</v>
      </c>
      <c r="M35" s="7"/>
      <c r="N35" s="7" t="s">
        <v>1088</v>
      </c>
      <c r="O35" s="8" t="s">
        <v>2351</v>
      </c>
      <c r="P35" s="7"/>
      <c r="Q35" s="7" t="s">
        <v>1978</v>
      </c>
      <c r="R35" s="7">
        <v>34</v>
      </c>
      <c r="S35" s="7">
        <f t="shared" si="1"/>
        <v>2</v>
      </c>
    </row>
    <row r="36" spans="1:19" ht="31.2">
      <c r="A36" s="7" t="s">
        <v>541</v>
      </c>
      <c r="B36" s="7" t="s">
        <v>1751</v>
      </c>
      <c r="C36" s="7" t="s">
        <v>544</v>
      </c>
      <c r="D36" s="7" t="s">
        <v>1719</v>
      </c>
      <c r="E36" s="7" t="s">
        <v>1841</v>
      </c>
      <c r="F36" s="7"/>
      <c r="G36" s="7"/>
      <c r="H36" s="7" t="s">
        <v>2643</v>
      </c>
      <c r="I36" s="7"/>
      <c r="J36" s="7"/>
      <c r="K36" s="7" t="s">
        <v>2550</v>
      </c>
      <c r="L36" s="7" t="s">
        <v>2489</v>
      </c>
      <c r="M36" s="7"/>
      <c r="N36" s="7" t="s">
        <v>1082</v>
      </c>
      <c r="O36" s="8" t="s">
        <v>2352</v>
      </c>
      <c r="P36" s="7"/>
      <c r="Q36" s="7"/>
      <c r="R36" s="7">
        <v>35</v>
      </c>
      <c r="S36" s="7">
        <f t="shared" si="1"/>
        <v>6</v>
      </c>
    </row>
    <row r="37" spans="1:19" ht="31.2">
      <c r="A37" s="1" t="s">
        <v>541</v>
      </c>
      <c r="B37" s="1" t="s">
        <v>1751</v>
      </c>
      <c r="C37" s="1" t="s">
        <v>544</v>
      </c>
      <c r="D37" s="1" t="s">
        <v>1805</v>
      </c>
      <c r="E37" s="1" t="s">
        <v>22</v>
      </c>
      <c r="F37" s="1" t="s">
        <v>2301</v>
      </c>
      <c r="K37" s="1" t="s">
        <v>2551</v>
      </c>
      <c r="L37" s="1" t="s">
        <v>2490</v>
      </c>
      <c r="N37" s="1" t="s">
        <v>2293</v>
      </c>
      <c r="O37" s="5" t="s">
        <v>2353</v>
      </c>
      <c r="Q37" s="1" t="s">
        <v>2082</v>
      </c>
      <c r="R37" s="1">
        <v>36</v>
      </c>
      <c r="S37" s="1">
        <f t="shared" si="1"/>
        <v>1</v>
      </c>
    </row>
    <row r="38" spans="1:19" s="7" customFormat="1" ht="46.8">
      <c r="A38" s="1" t="s">
        <v>541</v>
      </c>
      <c r="B38" s="1" t="s">
        <v>1751</v>
      </c>
      <c r="C38" s="1" t="s">
        <v>544</v>
      </c>
      <c r="D38" s="1" t="s">
        <v>2628</v>
      </c>
      <c r="E38" s="1" t="s">
        <v>133</v>
      </c>
      <c r="F38" s="1" t="s">
        <v>1042</v>
      </c>
      <c r="G38" s="1"/>
      <c r="H38" s="1"/>
      <c r="I38" s="1"/>
      <c r="J38" s="1"/>
      <c r="K38" s="1" t="s">
        <v>1919</v>
      </c>
      <c r="L38" s="1" t="s">
        <v>2491</v>
      </c>
      <c r="M38" s="1"/>
      <c r="N38" s="1" t="s">
        <v>2292</v>
      </c>
      <c r="O38" s="5" t="s">
        <v>2354</v>
      </c>
      <c r="P38" s="1"/>
      <c r="Q38" s="1" t="s">
        <v>2243</v>
      </c>
      <c r="R38" s="1">
        <v>37</v>
      </c>
      <c r="S38" s="1">
        <f t="shared" si="1"/>
        <v>1</v>
      </c>
    </row>
    <row r="39" spans="1:19" s="7" customFormat="1" ht="52.2">
      <c r="A39" s="7" t="s">
        <v>541</v>
      </c>
      <c r="B39" s="7" t="s">
        <v>1750</v>
      </c>
      <c r="C39" s="7" t="s">
        <v>544</v>
      </c>
      <c r="D39" s="7" t="s">
        <v>546</v>
      </c>
      <c r="G39" s="10" t="s">
        <v>2257</v>
      </c>
      <c r="H39" s="7" t="s">
        <v>2651</v>
      </c>
      <c r="J39" s="7" t="s">
        <v>287</v>
      </c>
      <c r="K39" s="7" t="s">
        <v>2552</v>
      </c>
      <c r="L39" s="7" t="s">
        <v>2492</v>
      </c>
      <c r="N39" s="7" t="s">
        <v>1024</v>
      </c>
      <c r="O39" s="8" t="s">
        <v>2355</v>
      </c>
      <c r="R39" s="7">
        <v>38</v>
      </c>
      <c r="S39" s="7">
        <f t="shared" si="1"/>
        <v>5</v>
      </c>
    </row>
    <row r="40" spans="1:19" s="20" customFormat="1">
      <c r="A40" s="1" t="s">
        <v>541</v>
      </c>
      <c r="B40" s="1" t="s">
        <v>1750</v>
      </c>
      <c r="C40" s="1" t="s">
        <v>544</v>
      </c>
      <c r="D40" s="1" t="s">
        <v>1950</v>
      </c>
      <c r="E40" s="1"/>
      <c r="F40" s="1"/>
      <c r="G40" s="1" t="s">
        <v>1864</v>
      </c>
      <c r="H40" s="1"/>
      <c r="I40" s="1"/>
      <c r="J40" s="1" t="s">
        <v>287</v>
      </c>
      <c r="K40" s="1" t="s">
        <v>2553</v>
      </c>
      <c r="L40" s="1" t="s">
        <v>2474</v>
      </c>
      <c r="M40" s="1"/>
      <c r="N40" s="1" t="s">
        <v>1844</v>
      </c>
      <c r="O40" s="5" t="s">
        <v>2356</v>
      </c>
      <c r="P40" s="1"/>
      <c r="Q40" s="1" t="s">
        <v>2083</v>
      </c>
      <c r="R40" s="1">
        <v>39</v>
      </c>
      <c r="S40" s="1">
        <f t="shared" si="1"/>
        <v>1</v>
      </c>
    </row>
    <row r="41" spans="1:19" s="7" customFormat="1" ht="31.2">
      <c r="A41" s="7" t="s">
        <v>541</v>
      </c>
      <c r="B41" s="7" t="s">
        <v>1750</v>
      </c>
      <c r="C41" s="7" t="s">
        <v>145</v>
      </c>
      <c r="D41" s="7" t="s">
        <v>1953</v>
      </c>
      <c r="H41" s="7" t="s">
        <v>2646</v>
      </c>
      <c r="J41" s="7" t="s">
        <v>2608</v>
      </c>
      <c r="K41" s="7" t="s">
        <v>1932</v>
      </c>
      <c r="L41" s="7" t="s">
        <v>2477</v>
      </c>
      <c r="N41" s="7" t="s">
        <v>1637</v>
      </c>
      <c r="O41" s="8" t="s">
        <v>2357</v>
      </c>
      <c r="R41" s="7">
        <v>40</v>
      </c>
      <c r="S41" s="7">
        <f t="shared" si="1"/>
        <v>9</v>
      </c>
    </row>
    <row r="42" spans="1:19" ht="31.2">
      <c r="A42" s="1" t="s">
        <v>541</v>
      </c>
      <c r="B42" s="1" t="s">
        <v>1750</v>
      </c>
      <c r="C42" s="1" t="s">
        <v>145</v>
      </c>
      <c r="D42" s="1" t="s">
        <v>1955</v>
      </c>
      <c r="F42" s="1" t="s">
        <v>1075</v>
      </c>
      <c r="J42" s="1" t="s">
        <v>2475</v>
      </c>
      <c r="L42" s="1" t="s">
        <v>2493</v>
      </c>
      <c r="N42" s="1" t="s">
        <v>2285</v>
      </c>
      <c r="O42" s="5" t="s">
        <v>2358</v>
      </c>
      <c r="R42" s="1">
        <v>41</v>
      </c>
      <c r="S42" s="1">
        <f t="shared" si="1"/>
        <v>2</v>
      </c>
    </row>
    <row r="43" spans="1:19" ht="31.2">
      <c r="A43" s="29" t="s">
        <v>541</v>
      </c>
      <c r="B43" s="29" t="s">
        <v>1750</v>
      </c>
      <c r="C43" s="29" t="s">
        <v>145</v>
      </c>
      <c r="D43" s="29" t="s">
        <v>1849</v>
      </c>
      <c r="E43" s="29" t="s">
        <v>1861</v>
      </c>
      <c r="F43" s="29" t="s">
        <v>2303</v>
      </c>
      <c r="G43" s="29"/>
      <c r="H43" s="29" t="s">
        <v>2663</v>
      </c>
      <c r="I43" s="29"/>
      <c r="J43" s="29" t="s">
        <v>2554</v>
      </c>
      <c r="K43" s="29"/>
      <c r="L43" s="29" t="s">
        <v>1905</v>
      </c>
      <c r="M43" s="29"/>
      <c r="N43" s="29" t="s">
        <v>1642</v>
      </c>
      <c r="O43" s="30" t="s">
        <v>2359</v>
      </c>
      <c r="P43" s="29"/>
      <c r="Q43" s="29" t="s">
        <v>2101</v>
      </c>
      <c r="R43" s="29">
        <v>42</v>
      </c>
      <c r="S43" s="29">
        <f t="shared" si="1"/>
        <v>4</v>
      </c>
    </row>
    <row r="44" spans="1:19" ht="31.2">
      <c r="A44" s="1" t="s">
        <v>541</v>
      </c>
      <c r="B44" s="1" t="s">
        <v>1830</v>
      </c>
      <c r="C44" s="1" t="s">
        <v>1862</v>
      </c>
      <c r="D44" s="1" t="s">
        <v>1850</v>
      </c>
      <c r="F44" s="1" t="s">
        <v>2314</v>
      </c>
      <c r="J44" s="1" t="s">
        <v>2522</v>
      </c>
      <c r="K44" s="1" t="s">
        <v>2555</v>
      </c>
      <c r="L44" s="1" t="s">
        <v>2479</v>
      </c>
      <c r="N44" s="1" t="s">
        <v>508</v>
      </c>
      <c r="O44" s="5" t="s">
        <v>2360</v>
      </c>
      <c r="Q44" s="1" t="s">
        <v>2224</v>
      </c>
      <c r="R44" s="1">
        <v>43</v>
      </c>
      <c r="S44" s="1">
        <f t="shared" si="1"/>
        <v>1</v>
      </c>
    </row>
    <row r="45" spans="1:19" ht="31.2">
      <c r="A45" s="1" t="s">
        <v>541</v>
      </c>
      <c r="B45" s="1" t="s">
        <v>1830</v>
      </c>
      <c r="C45" s="1" t="s">
        <v>1862</v>
      </c>
      <c r="D45" s="1" t="s">
        <v>1953</v>
      </c>
      <c r="F45" s="1" t="s">
        <v>1077</v>
      </c>
      <c r="J45" s="1" t="s">
        <v>2514</v>
      </c>
      <c r="K45" s="1" t="s">
        <v>1919</v>
      </c>
      <c r="L45" s="1" t="s">
        <v>2463</v>
      </c>
      <c r="N45" s="1" t="s">
        <v>2316</v>
      </c>
      <c r="O45" s="5" t="s">
        <v>2361</v>
      </c>
      <c r="Q45" s="1" t="s">
        <v>2219</v>
      </c>
      <c r="R45" s="1">
        <v>44</v>
      </c>
      <c r="S45" s="1">
        <f t="shared" si="1"/>
        <v>1</v>
      </c>
    </row>
    <row r="46" spans="1:19" ht="46.8">
      <c r="A46" s="1" t="s">
        <v>541</v>
      </c>
      <c r="B46" s="1" t="s">
        <v>1830</v>
      </c>
      <c r="C46" s="1" t="s">
        <v>1863</v>
      </c>
      <c r="D46" s="1" t="s">
        <v>1951</v>
      </c>
      <c r="J46" s="2" t="s">
        <v>2556</v>
      </c>
      <c r="K46" s="2" t="s">
        <v>2584</v>
      </c>
      <c r="L46" s="1" t="s">
        <v>2494</v>
      </c>
      <c r="N46" s="1" t="s">
        <v>1845</v>
      </c>
      <c r="O46" s="5" t="s">
        <v>2362</v>
      </c>
      <c r="Q46" s="1" t="s">
        <v>2206</v>
      </c>
      <c r="R46" s="1">
        <v>45</v>
      </c>
      <c r="S46" s="1">
        <f t="shared" si="1"/>
        <v>1</v>
      </c>
    </row>
    <row r="47" spans="1:19" ht="46.8">
      <c r="A47" s="1" t="s">
        <v>541</v>
      </c>
      <c r="B47" s="1" t="s">
        <v>1830</v>
      </c>
      <c r="C47" s="1" t="s">
        <v>1863</v>
      </c>
      <c r="D47" s="1" t="s">
        <v>1950</v>
      </c>
      <c r="J47" s="2" t="s">
        <v>2585</v>
      </c>
      <c r="K47" s="2" t="s">
        <v>2586</v>
      </c>
      <c r="L47" s="1" t="s">
        <v>2495</v>
      </c>
      <c r="N47" s="1" t="s">
        <v>1846</v>
      </c>
      <c r="O47" s="5" t="s">
        <v>2363</v>
      </c>
      <c r="R47" s="1">
        <v>46</v>
      </c>
      <c r="S47" s="1">
        <f t="shared" si="1"/>
        <v>1</v>
      </c>
    </row>
    <row r="48" spans="1:19" ht="31.2">
      <c r="A48" s="1" t="s">
        <v>541</v>
      </c>
      <c r="B48" s="1" t="s">
        <v>1830</v>
      </c>
      <c r="C48" s="1" t="s">
        <v>1863</v>
      </c>
      <c r="D48" s="1" t="s">
        <v>1851</v>
      </c>
      <c r="F48" s="1" t="s">
        <v>2309</v>
      </c>
      <c r="J48" s="1" t="s">
        <v>2587</v>
      </c>
      <c r="K48" s="1" t="s">
        <v>2588</v>
      </c>
      <c r="L48" s="1" t="s">
        <v>1905</v>
      </c>
      <c r="N48" s="1" t="s">
        <v>2287</v>
      </c>
      <c r="O48" s="5" t="s">
        <v>2364</v>
      </c>
      <c r="P48" s="1" t="s">
        <v>1852</v>
      </c>
      <c r="Q48" s="1" t="s">
        <v>2020</v>
      </c>
      <c r="R48" s="1">
        <v>47</v>
      </c>
      <c r="S48" s="1">
        <f t="shared" si="1"/>
        <v>1</v>
      </c>
    </row>
    <row r="49" spans="1:19" ht="62.4">
      <c r="A49" s="1" t="s">
        <v>541</v>
      </c>
      <c r="B49" s="1" t="s">
        <v>1829</v>
      </c>
      <c r="C49" s="1" t="s">
        <v>544</v>
      </c>
      <c r="D49" s="1" t="s">
        <v>1952</v>
      </c>
      <c r="E49" s="1" t="s">
        <v>90</v>
      </c>
      <c r="J49" s="1" t="s">
        <v>287</v>
      </c>
      <c r="K49" s="1" t="s">
        <v>1918</v>
      </c>
      <c r="L49" s="1" t="s">
        <v>2496</v>
      </c>
      <c r="N49" s="1" t="s">
        <v>1847</v>
      </c>
      <c r="O49" s="5" t="s">
        <v>2317</v>
      </c>
      <c r="Q49" s="1" t="s">
        <v>2013</v>
      </c>
      <c r="R49" s="1">
        <v>48</v>
      </c>
      <c r="S49" s="1">
        <f t="shared" si="1"/>
        <v>1</v>
      </c>
    </row>
    <row r="50" spans="1:19" s="13" customFormat="1" ht="32.4">
      <c r="A50" s="7" t="s">
        <v>541</v>
      </c>
      <c r="B50" s="7" t="s">
        <v>1829</v>
      </c>
      <c r="C50" s="7" t="s">
        <v>544</v>
      </c>
      <c r="D50" s="7" t="s">
        <v>1951</v>
      </c>
      <c r="E50" s="7" t="s">
        <v>1866</v>
      </c>
      <c r="F50" s="7" t="s">
        <v>2301</v>
      </c>
      <c r="G50" s="7"/>
      <c r="H50" s="7" t="s">
        <v>2651</v>
      </c>
      <c r="I50" s="7"/>
      <c r="J50" s="7" t="s">
        <v>287</v>
      </c>
      <c r="K50" s="7" t="s">
        <v>2553</v>
      </c>
      <c r="L50" s="7" t="s">
        <v>2497</v>
      </c>
      <c r="M50" s="7"/>
      <c r="N50" s="7" t="s">
        <v>543</v>
      </c>
      <c r="O50" s="8" t="s">
        <v>2365</v>
      </c>
      <c r="P50" s="7"/>
      <c r="Q50" s="7" t="s">
        <v>2102</v>
      </c>
      <c r="R50" s="7">
        <v>49</v>
      </c>
      <c r="S50" s="7">
        <f t="shared" si="1"/>
        <v>5</v>
      </c>
    </row>
    <row r="51" spans="1:19" s="13" customFormat="1" ht="47.4">
      <c r="A51" s="7" t="s">
        <v>541</v>
      </c>
      <c r="B51" s="7" t="s">
        <v>1829</v>
      </c>
      <c r="C51" s="7" t="s">
        <v>544</v>
      </c>
      <c r="D51" s="7" t="s">
        <v>1853</v>
      </c>
      <c r="E51" s="7" t="s">
        <v>1836</v>
      </c>
      <c r="F51" s="7"/>
      <c r="G51" s="7"/>
      <c r="H51" s="7" t="s">
        <v>2655</v>
      </c>
      <c r="I51" s="7"/>
      <c r="J51" s="10" t="s">
        <v>2589</v>
      </c>
      <c r="K51" s="10" t="s">
        <v>1919</v>
      </c>
      <c r="L51" s="7" t="s">
        <v>2458</v>
      </c>
      <c r="M51" s="7"/>
      <c r="N51" s="7" t="s">
        <v>1848</v>
      </c>
      <c r="O51" s="8" t="s">
        <v>2366</v>
      </c>
      <c r="P51" s="7"/>
      <c r="Q51" s="7"/>
      <c r="R51" s="7">
        <v>50</v>
      </c>
      <c r="S51" s="7">
        <f t="shared" si="1"/>
        <v>2</v>
      </c>
    </row>
    <row r="52" spans="1:19" ht="31.2">
      <c r="A52" s="7" t="s">
        <v>541</v>
      </c>
      <c r="B52" s="7" t="s">
        <v>1829</v>
      </c>
      <c r="C52" s="7" t="s">
        <v>145</v>
      </c>
      <c r="D52" s="7" t="s">
        <v>1953</v>
      </c>
      <c r="E52" s="7"/>
      <c r="F52" s="7" t="s">
        <v>2289</v>
      </c>
      <c r="G52" s="7"/>
      <c r="H52" s="7" t="s">
        <v>2646</v>
      </c>
      <c r="I52" s="7"/>
      <c r="J52" s="7" t="s">
        <v>2608</v>
      </c>
      <c r="K52" s="7" t="s">
        <v>1918</v>
      </c>
      <c r="L52" s="7" t="s">
        <v>2499</v>
      </c>
      <c r="M52" s="7"/>
      <c r="N52" s="7" t="s">
        <v>1055</v>
      </c>
      <c r="O52" s="8" t="s">
        <v>2319</v>
      </c>
      <c r="P52" s="7"/>
      <c r="Q52" s="7" t="s">
        <v>2099</v>
      </c>
      <c r="R52" s="7">
        <v>51</v>
      </c>
      <c r="S52" s="7">
        <f t="shared" si="1"/>
        <v>9</v>
      </c>
    </row>
    <row r="53" spans="1:19" ht="31.8">
      <c r="A53" s="29" t="s">
        <v>541</v>
      </c>
      <c r="B53" s="29" t="s">
        <v>1829</v>
      </c>
      <c r="C53" s="29" t="s">
        <v>145</v>
      </c>
      <c r="D53" s="29" t="s">
        <v>1954</v>
      </c>
      <c r="E53" s="29"/>
      <c r="F53" s="29" t="s">
        <v>1074</v>
      </c>
      <c r="G53" s="29"/>
      <c r="H53" s="29" t="s">
        <v>2663</v>
      </c>
      <c r="I53" s="29" t="s">
        <v>1814</v>
      </c>
      <c r="J53" s="29" t="s">
        <v>2635</v>
      </c>
      <c r="K53" s="29"/>
      <c r="L53" s="29" t="s">
        <v>2500</v>
      </c>
      <c r="M53" s="29"/>
      <c r="N53" s="29" t="s">
        <v>1643</v>
      </c>
      <c r="O53" s="30" t="s">
        <v>2367</v>
      </c>
      <c r="P53" s="29"/>
      <c r="Q53" s="29" t="s">
        <v>2246</v>
      </c>
      <c r="R53" s="29">
        <v>52</v>
      </c>
      <c r="S53" s="29">
        <f t="shared" si="1"/>
        <v>3</v>
      </c>
    </row>
    <row r="54" spans="1:19" ht="31.2">
      <c r="A54" s="22" t="s">
        <v>1752</v>
      </c>
      <c r="B54" s="22" t="s">
        <v>1867</v>
      </c>
      <c r="C54" s="22" t="s">
        <v>145</v>
      </c>
      <c r="D54" s="22" t="s">
        <v>1767</v>
      </c>
      <c r="E54" s="22" t="s">
        <v>409</v>
      </c>
      <c r="F54" s="22" t="s">
        <v>2304</v>
      </c>
      <c r="G54" s="22"/>
      <c r="H54" s="22" t="s">
        <v>2661</v>
      </c>
      <c r="I54" s="22"/>
      <c r="J54" s="22" t="s">
        <v>2501</v>
      </c>
      <c r="K54" s="22" t="s">
        <v>2501</v>
      </c>
      <c r="L54" s="22" t="s">
        <v>2465</v>
      </c>
      <c r="M54" s="22"/>
      <c r="N54" s="22" t="s">
        <v>1641</v>
      </c>
      <c r="O54" s="24" t="s">
        <v>2368</v>
      </c>
      <c r="P54" s="22"/>
      <c r="Q54" s="22" t="s">
        <v>1972</v>
      </c>
      <c r="R54" s="22">
        <v>53</v>
      </c>
      <c r="S54" s="22">
        <f t="shared" si="1"/>
        <v>3</v>
      </c>
    </row>
    <row r="55" spans="1:19" ht="46.8">
      <c r="A55" s="1" t="s">
        <v>1752</v>
      </c>
      <c r="B55" s="1" t="s">
        <v>1867</v>
      </c>
      <c r="C55" s="1" t="s">
        <v>145</v>
      </c>
      <c r="D55" s="1" t="s">
        <v>2031</v>
      </c>
      <c r="E55" s="1" t="s">
        <v>410</v>
      </c>
      <c r="J55" s="1" t="s">
        <v>2475</v>
      </c>
      <c r="K55" s="1" t="s">
        <v>2548</v>
      </c>
      <c r="L55" s="1" t="s">
        <v>2502</v>
      </c>
      <c r="N55" s="1" t="s">
        <v>1979</v>
      </c>
      <c r="O55" s="5" t="s">
        <v>2369</v>
      </c>
      <c r="Q55" s="1" t="s">
        <v>2084</v>
      </c>
      <c r="R55" s="1">
        <v>54</v>
      </c>
      <c r="S55" s="1">
        <f t="shared" si="1"/>
        <v>1</v>
      </c>
    </row>
    <row r="56" spans="1:19" ht="31.2">
      <c r="A56" s="7" t="s">
        <v>1752</v>
      </c>
      <c r="B56" s="7" t="s">
        <v>1867</v>
      </c>
      <c r="C56" s="7" t="s">
        <v>544</v>
      </c>
      <c r="D56" s="7" t="s">
        <v>2029</v>
      </c>
      <c r="E56" s="7" t="s">
        <v>133</v>
      </c>
      <c r="F56" s="7"/>
      <c r="G56" s="7" t="s">
        <v>2033</v>
      </c>
      <c r="H56" s="7" t="s">
        <v>2647</v>
      </c>
      <c r="I56" s="7"/>
      <c r="J56" s="7" t="s">
        <v>2514</v>
      </c>
      <c r="K56" s="7" t="s">
        <v>1919</v>
      </c>
      <c r="L56" s="7" t="s">
        <v>2461</v>
      </c>
      <c r="M56" s="7"/>
      <c r="N56" s="7" t="s">
        <v>1971</v>
      </c>
      <c r="O56" s="8" t="s">
        <v>2370</v>
      </c>
      <c r="P56" s="7"/>
      <c r="Q56" s="7"/>
      <c r="R56" s="7">
        <v>55</v>
      </c>
      <c r="S56" s="7">
        <f t="shared" si="1"/>
        <v>2</v>
      </c>
    </row>
    <row r="57" spans="1:19" ht="31.2">
      <c r="A57" s="7" t="s">
        <v>1752</v>
      </c>
      <c r="B57" s="7" t="s">
        <v>1867</v>
      </c>
      <c r="C57" s="7" t="s">
        <v>544</v>
      </c>
      <c r="D57" s="7" t="s">
        <v>2037</v>
      </c>
      <c r="E57" s="7" t="s">
        <v>1567</v>
      </c>
      <c r="F57" s="7"/>
      <c r="G57" s="7"/>
      <c r="H57" s="7" t="s">
        <v>2633</v>
      </c>
      <c r="I57" s="7"/>
      <c r="J57" s="7"/>
      <c r="K57" s="7" t="s">
        <v>2558</v>
      </c>
      <c r="L57" s="7" t="s">
        <v>2490</v>
      </c>
      <c r="M57" s="7"/>
      <c r="N57" s="7" t="s">
        <v>1137</v>
      </c>
      <c r="O57" s="8" t="s">
        <v>2371</v>
      </c>
      <c r="P57" s="7"/>
      <c r="Q57" s="7"/>
      <c r="R57" s="7">
        <v>56</v>
      </c>
      <c r="S57" s="7">
        <f t="shared" si="1"/>
        <v>3</v>
      </c>
    </row>
    <row r="58" spans="1:19" ht="31.2">
      <c r="A58" s="1" t="s">
        <v>1752</v>
      </c>
      <c r="B58" s="1" t="s">
        <v>1867</v>
      </c>
      <c r="C58" s="1" t="s">
        <v>544</v>
      </c>
      <c r="D58" s="1" t="s">
        <v>132</v>
      </c>
      <c r="E58" s="1" t="s">
        <v>134</v>
      </c>
      <c r="G58" s="1" t="s">
        <v>2032</v>
      </c>
      <c r="K58" s="1" t="s">
        <v>2553</v>
      </c>
      <c r="L58" s="1" t="s">
        <v>2474</v>
      </c>
      <c r="N58" s="1" t="s">
        <v>1974</v>
      </c>
      <c r="O58" s="5" t="s">
        <v>2372</v>
      </c>
      <c r="Q58" s="1" t="s">
        <v>2112</v>
      </c>
      <c r="R58" s="1">
        <v>57</v>
      </c>
      <c r="S58" s="1">
        <f t="shared" si="1"/>
        <v>1</v>
      </c>
    </row>
    <row r="59" spans="1:19" ht="31.2">
      <c r="A59" s="7" t="s">
        <v>1752</v>
      </c>
      <c r="B59" s="7" t="s">
        <v>1867</v>
      </c>
      <c r="C59" s="7" t="s">
        <v>544</v>
      </c>
      <c r="D59" s="7" t="s">
        <v>2028</v>
      </c>
      <c r="E59" s="7" t="s">
        <v>88</v>
      </c>
      <c r="F59" s="7"/>
      <c r="G59" s="7"/>
      <c r="H59" s="7" t="s">
        <v>2643</v>
      </c>
      <c r="I59" s="7"/>
      <c r="J59" s="7"/>
      <c r="K59" s="7" t="s">
        <v>1919</v>
      </c>
      <c r="L59" s="7" t="s">
        <v>1917</v>
      </c>
      <c r="M59" s="7"/>
      <c r="N59" s="7" t="s">
        <v>1082</v>
      </c>
      <c r="O59" s="8" t="s">
        <v>2373</v>
      </c>
      <c r="P59" s="7"/>
      <c r="Q59" s="7"/>
      <c r="R59" s="7">
        <v>58</v>
      </c>
      <c r="S59" s="7">
        <f t="shared" si="1"/>
        <v>6</v>
      </c>
    </row>
    <row r="60" spans="1:19" ht="31.2">
      <c r="A60" s="25" t="s">
        <v>1752</v>
      </c>
      <c r="B60" s="25" t="s">
        <v>1867</v>
      </c>
      <c r="C60" s="25" t="s">
        <v>544</v>
      </c>
      <c r="D60" s="25" t="s">
        <v>2027</v>
      </c>
      <c r="E60" s="25" t="s">
        <v>184</v>
      </c>
      <c r="F60" s="25" t="s">
        <v>2312</v>
      </c>
      <c r="G60" s="25"/>
      <c r="H60" s="25" t="s">
        <v>1836</v>
      </c>
      <c r="I60" s="25"/>
      <c r="J60" s="25" t="s">
        <v>2504</v>
      </c>
      <c r="K60" s="25"/>
      <c r="L60" s="25" t="s">
        <v>2503</v>
      </c>
      <c r="M60" s="25"/>
      <c r="N60" s="25" t="s">
        <v>1613</v>
      </c>
      <c r="O60" s="26" t="s">
        <v>2374</v>
      </c>
      <c r="P60" s="25"/>
      <c r="Q60" s="25" t="s">
        <v>2207</v>
      </c>
      <c r="R60" s="25">
        <v>59</v>
      </c>
      <c r="S60" s="25">
        <f t="shared" ref="S60:S91" si="2">COUNTIF(F:P,N60)</f>
        <v>1</v>
      </c>
    </row>
    <row r="61" spans="1:19">
      <c r="A61" s="7" t="s">
        <v>1752</v>
      </c>
      <c r="B61" s="7" t="s">
        <v>1753</v>
      </c>
      <c r="C61" s="7" t="s">
        <v>544</v>
      </c>
      <c r="D61" s="7" t="s">
        <v>2036</v>
      </c>
      <c r="E61" s="7" t="s">
        <v>133</v>
      </c>
      <c r="F61" s="7"/>
      <c r="G61" s="7" t="s">
        <v>2041</v>
      </c>
      <c r="H61" s="7" t="s">
        <v>2648</v>
      </c>
      <c r="I61" s="7"/>
      <c r="J61" s="7"/>
      <c r="K61" s="7" t="s">
        <v>1918</v>
      </c>
      <c r="L61" s="7" t="s">
        <v>2460</v>
      </c>
      <c r="M61" s="7"/>
      <c r="N61" s="7" t="s">
        <v>1115</v>
      </c>
      <c r="O61" s="8" t="s">
        <v>2375</v>
      </c>
      <c r="P61" s="7"/>
      <c r="Q61" s="7"/>
      <c r="R61" s="7">
        <v>60</v>
      </c>
      <c r="S61" s="7">
        <f t="shared" si="2"/>
        <v>2</v>
      </c>
    </row>
    <row r="62" spans="1:19">
      <c r="A62" s="7" t="s">
        <v>1752</v>
      </c>
      <c r="B62" s="7" t="s">
        <v>1753</v>
      </c>
      <c r="C62" s="7" t="s">
        <v>544</v>
      </c>
      <c r="D62" s="7" t="s">
        <v>2037</v>
      </c>
      <c r="E62" s="7" t="s">
        <v>1567</v>
      </c>
      <c r="F62" s="7"/>
      <c r="G62" s="7"/>
      <c r="H62" s="7" t="s">
        <v>2633</v>
      </c>
      <c r="I62" s="7"/>
      <c r="J62" s="7"/>
      <c r="K62" s="7" t="s">
        <v>2558</v>
      </c>
      <c r="L62" s="7" t="s">
        <v>2505</v>
      </c>
      <c r="M62" s="7"/>
      <c r="N62" s="7" t="s">
        <v>1137</v>
      </c>
      <c r="O62" s="8" t="s">
        <v>2376</v>
      </c>
      <c r="P62" s="7"/>
      <c r="Q62" s="7"/>
      <c r="R62" s="7">
        <v>61</v>
      </c>
      <c r="S62" s="7">
        <f t="shared" si="2"/>
        <v>3</v>
      </c>
    </row>
    <row r="63" spans="1:19">
      <c r="A63" s="1" t="s">
        <v>1752</v>
      </c>
      <c r="B63" s="1" t="s">
        <v>1753</v>
      </c>
      <c r="C63" s="1" t="s">
        <v>544</v>
      </c>
      <c r="D63" s="1" t="s">
        <v>1964</v>
      </c>
      <c r="E63" s="1" t="s">
        <v>88</v>
      </c>
      <c r="J63" s="1" t="s">
        <v>2522</v>
      </c>
      <c r="K63" s="1" t="s">
        <v>2559</v>
      </c>
      <c r="L63" s="1" t="s">
        <v>1917</v>
      </c>
      <c r="N63" s="1" t="s">
        <v>1983</v>
      </c>
      <c r="O63" s="5" t="s">
        <v>2377</v>
      </c>
      <c r="Q63" s="1" t="s">
        <v>2212</v>
      </c>
      <c r="R63" s="1">
        <v>62</v>
      </c>
      <c r="S63" s="1">
        <f t="shared" si="2"/>
        <v>1</v>
      </c>
    </row>
    <row r="64" spans="1:19">
      <c r="A64" s="1" t="s">
        <v>1752</v>
      </c>
      <c r="B64" s="1" t="s">
        <v>1753</v>
      </c>
      <c r="C64" s="1" t="s">
        <v>544</v>
      </c>
      <c r="D64" s="1" t="s">
        <v>2038</v>
      </c>
      <c r="E64" s="1" t="s">
        <v>2034</v>
      </c>
      <c r="F64" s="1" t="s">
        <v>2306</v>
      </c>
      <c r="K64" s="1" t="s">
        <v>1918</v>
      </c>
      <c r="L64" s="1" t="s">
        <v>2490</v>
      </c>
      <c r="N64" s="1" t="s">
        <v>1667</v>
      </c>
      <c r="O64" s="5" t="s">
        <v>2378</v>
      </c>
      <c r="R64" s="1">
        <v>63</v>
      </c>
      <c r="S64" s="1">
        <f t="shared" si="2"/>
        <v>2</v>
      </c>
    </row>
    <row r="65" spans="1:19">
      <c r="A65" s="1" t="s">
        <v>1752</v>
      </c>
      <c r="B65" s="1" t="s">
        <v>1753</v>
      </c>
      <c r="C65" s="1" t="s">
        <v>145</v>
      </c>
      <c r="D65" s="1" t="s">
        <v>1718</v>
      </c>
      <c r="E65" s="1" t="s">
        <v>2035</v>
      </c>
      <c r="G65" s="1" t="s">
        <v>2042</v>
      </c>
      <c r="K65" s="1" t="s">
        <v>1923</v>
      </c>
      <c r="L65" s="1" t="s">
        <v>2638</v>
      </c>
      <c r="N65" s="1" t="s">
        <v>1986</v>
      </c>
      <c r="O65" s="5" t="s">
        <v>2379</v>
      </c>
      <c r="Q65" s="1" t="s">
        <v>2223</v>
      </c>
      <c r="R65" s="1">
        <v>64</v>
      </c>
      <c r="S65" s="1">
        <f t="shared" si="2"/>
        <v>1</v>
      </c>
    </row>
    <row r="66" spans="1:19" ht="31.2">
      <c r="A66" s="1" t="s">
        <v>1752</v>
      </c>
      <c r="B66" s="1" t="s">
        <v>1753</v>
      </c>
      <c r="C66" s="1" t="s">
        <v>145</v>
      </c>
      <c r="D66" s="1" t="s">
        <v>2039</v>
      </c>
      <c r="E66" s="1" t="s">
        <v>410</v>
      </c>
      <c r="J66" s="1" t="s">
        <v>2475</v>
      </c>
      <c r="L66" s="1" t="s">
        <v>2507</v>
      </c>
      <c r="N66" s="1" t="s">
        <v>1988</v>
      </c>
      <c r="O66" s="5" t="s">
        <v>2380</v>
      </c>
      <c r="R66" s="1">
        <v>65</v>
      </c>
      <c r="S66" s="1">
        <f t="shared" si="2"/>
        <v>1</v>
      </c>
    </row>
    <row r="67" spans="1:19">
      <c r="A67" s="1" t="s">
        <v>1752</v>
      </c>
      <c r="B67" s="1" t="s">
        <v>1753</v>
      </c>
      <c r="C67" s="1" t="s">
        <v>145</v>
      </c>
      <c r="D67" s="1" t="s">
        <v>2040</v>
      </c>
      <c r="E67" s="1" t="s">
        <v>409</v>
      </c>
      <c r="J67" s="1" t="s">
        <v>2501</v>
      </c>
      <c r="L67" s="1" t="s">
        <v>2465</v>
      </c>
      <c r="N67" s="1" t="s">
        <v>1112</v>
      </c>
      <c r="O67" s="5" t="s">
        <v>2381</v>
      </c>
      <c r="Q67" s="1" t="s">
        <v>2107</v>
      </c>
      <c r="R67" s="1">
        <v>66</v>
      </c>
      <c r="S67" s="1">
        <f t="shared" si="2"/>
        <v>1</v>
      </c>
    </row>
    <row r="68" spans="1:19" ht="31.2">
      <c r="A68" s="1" t="s">
        <v>1752</v>
      </c>
      <c r="B68" s="1" t="s">
        <v>1963</v>
      </c>
      <c r="C68" s="1" t="s">
        <v>145</v>
      </c>
      <c r="D68" s="1" t="s">
        <v>2043</v>
      </c>
      <c r="E68" s="1" t="s">
        <v>410</v>
      </c>
      <c r="G68" s="1" t="s">
        <v>2045</v>
      </c>
      <c r="J68" s="1" t="s">
        <v>2514</v>
      </c>
      <c r="K68" s="1" t="s">
        <v>1919</v>
      </c>
      <c r="L68" s="1" t="s">
        <v>1926</v>
      </c>
      <c r="N68" s="1" t="s">
        <v>574</v>
      </c>
      <c r="O68" s="5" t="s">
        <v>2382</v>
      </c>
      <c r="Q68" s="1" t="s">
        <v>2227</v>
      </c>
      <c r="R68" s="1">
        <v>67</v>
      </c>
      <c r="S68" s="1">
        <f t="shared" si="2"/>
        <v>1</v>
      </c>
    </row>
    <row r="69" spans="1:19" ht="31.2">
      <c r="A69" s="7" t="s">
        <v>1752</v>
      </c>
      <c r="B69" s="7" t="s">
        <v>1963</v>
      </c>
      <c r="C69" s="7" t="s">
        <v>544</v>
      </c>
      <c r="D69" s="7" t="s">
        <v>2029</v>
      </c>
      <c r="E69" s="7" t="s">
        <v>133</v>
      </c>
      <c r="F69" s="7" t="s">
        <v>2305</v>
      </c>
      <c r="G69" s="7"/>
      <c r="H69" s="7" t="s">
        <v>2647</v>
      </c>
      <c r="I69" s="7"/>
      <c r="J69" s="7" t="s">
        <v>2514</v>
      </c>
      <c r="K69" s="7" t="s">
        <v>1918</v>
      </c>
      <c r="L69" s="7" t="s">
        <v>2508</v>
      </c>
      <c r="M69" s="7"/>
      <c r="N69" s="7" t="s">
        <v>2044</v>
      </c>
      <c r="O69" s="8" t="s">
        <v>2383</v>
      </c>
      <c r="P69" s="7"/>
      <c r="Q69" s="7"/>
      <c r="R69" s="7">
        <v>68</v>
      </c>
      <c r="S69" s="7">
        <f t="shared" si="2"/>
        <v>2</v>
      </c>
    </row>
    <row r="70" spans="1:19" ht="31.2">
      <c r="A70" s="1" t="s">
        <v>1752</v>
      </c>
      <c r="B70" s="1" t="s">
        <v>1963</v>
      </c>
      <c r="C70" s="1" t="s">
        <v>544</v>
      </c>
      <c r="D70" s="1" t="s">
        <v>132</v>
      </c>
      <c r="E70" s="1" t="s">
        <v>134</v>
      </c>
      <c r="J70" s="1" t="s">
        <v>287</v>
      </c>
      <c r="K70" s="1" t="s">
        <v>2560</v>
      </c>
      <c r="L70" s="1" t="s">
        <v>2474</v>
      </c>
      <c r="N70" s="1" t="s">
        <v>1001</v>
      </c>
      <c r="O70" s="5" t="s">
        <v>2384</v>
      </c>
      <c r="P70" s="1" t="s">
        <v>1991</v>
      </c>
      <c r="Q70" s="1" t="s">
        <v>2002</v>
      </c>
      <c r="R70" s="1">
        <v>69</v>
      </c>
      <c r="S70" s="1">
        <f t="shared" si="2"/>
        <v>1</v>
      </c>
    </row>
    <row r="71" spans="1:19" ht="31.2">
      <c r="A71" s="7" t="s">
        <v>1752</v>
      </c>
      <c r="B71" s="7" t="s">
        <v>1963</v>
      </c>
      <c r="C71" s="7" t="s">
        <v>544</v>
      </c>
      <c r="D71" s="7" t="s">
        <v>1965</v>
      </c>
      <c r="E71" s="7" t="s">
        <v>88</v>
      </c>
      <c r="F71" s="7"/>
      <c r="G71" s="7"/>
      <c r="H71" s="7" t="s">
        <v>2643</v>
      </c>
      <c r="I71" s="7"/>
      <c r="J71" s="7" t="s">
        <v>2522</v>
      </c>
      <c r="K71" s="7" t="s">
        <v>1919</v>
      </c>
      <c r="L71" s="7" t="s">
        <v>1917</v>
      </c>
      <c r="M71" s="7"/>
      <c r="N71" s="7" t="s">
        <v>1082</v>
      </c>
      <c r="O71" s="8" t="s">
        <v>2385</v>
      </c>
      <c r="P71" s="7"/>
      <c r="Q71" s="7"/>
      <c r="R71" s="7">
        <v>70</v>
      </c>
      <c r="S71" s="7">
        <f t="shared" si="2"/>
        <v>6</v>
      </c>
    </row>
    <row r="72" spans="1:19">
      <c r="A72" s="25" t="s">
        <v>1752</v>
      </c>
      <c r="B72" s="25" t="s">
        <v>1963</v>
      </c>
      <c r="C72" s="25" t="s">
        <v>544</v>
      </c>
      <c r="D72" s="25" t="s">
        <v>2027</v>
      </c>
      <c r="E72" s="25" t="s">
        <v>184</v>
      </c>
      <c r="F72" s="25"/>
      <c r="G72" s="25"/>
      <c r="H72" s="25" t="s">
        <v>1836</v>
      </c>
      <c r="I72" s="25"/>
      <c r="J72" s="25" t="s">
        <v>2509</v>
      </c>
      <c r="K72" s="25"/>
      <c r="L72" s="25" t="s">
        <v>2510</v>
      </c>
      <c r="M72" s="25"/>
      <c r="N72" s="25" t="s">
        <v>1994</v>
      </c>
      <c r="O72" s="26" t="s">
        <v>2386</v>
      </c>
      <c r="P72" s="25"/>
      <c r="Q72" s="25" t="s">
        <v>2199</v>
      </c>
      <c r="R72" s="25">
        <v>71</v>
      </c>
      <c r="S72" s="25">
        <f t="shared" si="2"/>
        <v>1</v>
      </c>
    </row>
    <row r="73" spans="1:19" ht="31.2">
      <c r="A73" s="7" t="s">
        <v>1752</v>
      </c>
      <c r="B73" s="7" t="s">
        <v>1957</v>
      </c>
      <c r="C73" s="7" t="s">
        <v>2050</v>
      </c>
      <c r="D73" s="7" t="s">
        <v>587</v>
      </c>
      <c r="E73" s="7" t="s">
        <v>133</v>
      </c>
      <c r="F73" s="7"/>
      <c r="G73" s="7" t="s">
        <v>2052</v>
      </c>
      <c r="H73" s="7" t="s">
        <v>2648</v>
      </c>
      <c r="I73" s="7"/>
      <c r="J73" s="7"/>
      <c r="K73" s="7" t="s">
        <v>1919</v>
      </c>
      <c r="L73" s="7" t="s">
        <v>2511</v>
      </c>
      <c r="M73" s="7"/>
      <c r="N73" s="7" t="s">
        <v>1115</v>
      </c>
      <c r="O73" s="8" t="s">
        <v>2387</v>
      </c>
      <c r="P73" s="7"/>
      <c r="Q73" s="7"/>
      <c r="R73" s="7">
        <v>72</v>
      </c>
      <c r="S73" s="7">
        <f t="shared" si="2"/>
        <v>2</v>
      </c>
    </row>
    <row r="74" spans="1:19" ht="31.2">
      <c r="A74" s="1" t="s">
        <v>1752</v>
      </c>
      <c r="B74" s="1" t="s">
        <v>1957</v>
      </c>
      <c r="C74" s="1" t="s">
        <v>2050</v>
      </c>
      <c r="D74" s="1" t="s">
        <v>132</v>
      </c>
      <c r="E74" s="1" t="s">
        <v>134</v>
      </c>
      <c r="J74" s="1" t="s">
        <v>287</v>
      </c>
      <c r="K74" s="1" t="s">
        <v>2553</v>
      </c>
      <c r="L74" s="1" t="s">
        <v>2512</v>
      </c>
      <c r="N74" s="1" t="s">
        <v>1997</v>
      </c>
      <c r="O74" s="5" t="s">
        <v>2388</v>
      </c>
      <c r="Q74" s="1" t="s">
        <v>2081</v>
      </c>
      <c r="R74" s="1">
        <v>73</v>
      </c>
      <c r="S74" s="1">
        <f t="shared" si="2"/>
        <v>1</v>
      </c>
    </row>
    <row r="75" spans="1:19" ht="31.2">
      <c r="A75" s="7" t="s">
        <v>1752</v>
      </c>
      <c r="B75" s="7" t="s">
        <v>1957</v>
      </c>
      <c r="C75" s="7" t="s">
        <v>2050</v>
      </c>
      <c r="D75" s="7" t="s">
        <v>2037</v>
      </c>
      <c r="E75" s="7" t="s">
        <v>1567</v>
      </c>
      <c r="F75" s="7"/>
      <c r="G75" s="7"/>
      <c r="H75" s="7" t="s">
        <v>2633</v>
      </c>
      <c r="I75" s="7"/>
      <c r="J75" s="7"/>
      <c r="K75" s="7" t="s">
        <v>2561</v>
      </c>
      <c r="L75" s="7" t="s">
        <v>2490</v>
      </c>
      <c r="M75" s="7"/>
      <c r="N75" s="7" t="s">
        <v>1137</v>
      </c>
      <c r="O75" s="8" t="s">
        <v>2389</v>
      </c>
      <c r="P75" s="7"/>
      <c r="Q75" s="7"/>
      <c r="R75" s="7">
        <v>74</v>
      </c>
      <c r="S75" s="7">
        <f t="shared" si="2"/>
        <v>3</v>
      </c>
    </row>
    <row r="76" spans="1:19" ht="31.2">
      <c r="A76" s="1" t="s">
        <v>1752</v>
      </c>
      <c r="B76" s="1" t="s">
        <v>1957</v>
      </c>
      <c r="C76" s="1" t="s">
        <v>2049</v>
      </c>
      <c r="D76" s="1" t="s">
        <v>1967</v>
      </c>
      <c r="E76" s="1" t="s">
        <v>88</v>
      </c>
      <c r="J76" s="1" t="s">
        <v>1942</v>
      </c>
      <c r="L76" s="1" t="s">
        <v>1917</v>
      </c>
      <c r="N76" s="1" t="s">
        <v>1013</v>
      </c>
      <c r="O76" s="5" t="s">
        <v>2390</v>
      </c>
      <c r="Q76" s="1" t="s">
        <v>2218</v>
      </c>
      <c r="R76" s="1">
        <v>75</v>
      </c>
      <c r="S76" s="1">
        <f t="shared" si="2"/>
        <v>1</v>
      </c>
    </row>
    <row r="77" spans="1:19" ht="31.2">
      <c r="A77" s="1" t="s">
        <v>1752</v>
      </c>
      <c r="B77" s="1" t="s">
        <v>1957</v>
      </c>
      <c r="C77" s="1" t="s">
        <v>2049</v>
      </c>
      <c r="D77" s="1" t="s">
        <v>1968</v>
      </c>
      <c r="E77" s="1" t="s">
        <v>768</v>
      </c>
      <c r="J77" s="1" t="s">
        <v>2608</v>
      </c>
      <c r="K77" s="1" t="s">
        <v>2548</v>
      </c>
      <c r="L77" s="1" t="s">
        <v>1906</v>
      </c>
      <c r="N77" s="1" t="s">
        <v>1049</v>
      </c>
      <c r="O77" s="5" t="s">
        <v>2391</v>
      </c>
      <c r="Q77" s="1" t="s">
        <v>1998</v>
      </c>
      <c r="R77" s="1">
        <v>76</v>
      </c>
      <c r="S77" s="1">
        <f t="shared" si="2"/>
        <v>1</v>
      </c>
    </row>
    <row r="78" spans="1:19" ht="31.2">
      <c r="A78" s="17" t="s">
        <v>1752</v>
      </c>
      <c r="B78" s="17" t="s">
        <v>1957</v>
      </c>
      <c r="C78" s="17" t="s">
        <v>2049</v>
      </c>
      <c r="D78" s="17" t="s">
        <v>1969</v>
      </c>
      <c r="E78" s="17" t="s">
        <v>767</v>
      </c>
      <c r="F78" s="17"/>
      <c r="G78" s="17"/>
      <c r="H78" s="17"/>
      <c r="I78" s="17"/>
      <c r="J78" s="17" t="s">
        <v>2514</v>
      </c>
      <c r="K78" s="17" t="s">
        <v>2548</v>
      </c>
      <c r="L78" s="17" t="s">
        <v>1926</v>
      </c>
      <c r="M78" s="17"/>
      <c r="N78" s="17" t="s">
        <v>1068</v>
      </c>
      <c r="O78" s="18" t="s">
        <v>2392</v>
      </c>
      <c r="P78" s="17"/>
      <c r="Q78" s="17" t="s">
        <v>2214</v>
      </c>
      <c r="R78" s="17">
        <v>77</v>
      </c>
      <c r="S78" s="17">
        <f t="shared" si="2"/>
        <v>1</v>
      </c>
    </row>
    <row r="79" spans="1:19" ht="31.2">
      <c r="A79" s="22" t="s">
        <v>1752</v>
      </c>
      <c r="B79" s="22" t="s">
        <v>1958</v>
      </c>
      <c r="C79" s="22"/>
      <c r="D79" s="22" t="s">
        <v>1766</v>
      </c>
      <c r="E79" s="22" t="s">
        <v>409</v>
      </c>
      <c r="F79" s="22"/>
      <c r="G79" s="22"/>
      <c r="H79" s="22" t="s">
        <v>2661</v>
      </c>
      <c r="I79" s="22"/>
      <c r="J79" s="22" t="s">
        <v>2501</v>
      </c>
      <c r="K79" s="22" t="s">
        <v>2501</v>
      </c>
      <c r="L79" s="22" t="s">
        <v>2465</v>
      </c>
      <c r="M79" s="22"/>
      <c r="N79" s="22" t="s">
        <v>2009</v>
      </c>
      <c r="O79" s="24" t="s">
        <v>2342</v>
      </c>
      <c r="P79" s="22"/>
      <c r="Q79" s="22" t="s">
        <v>2245</v>
      </c>
      <c r="R79" s="22">
        <v>78</v>
      </c>
      <c r="S79" s="22">
        <f t="shared" si="2"/>
        <v>1</v>
      </c>
    </row>
    <row r="80" spans="1:19" ht="46.8">
      <c r="A80" s="1" t="s">
        <v>1752</v>
      </c>
      <c r="B80" s="1" t="s">
        <v>1958</v>
      </c>
      <c r="D80" s="1" t="s">
        <v>2610</v>
      </c>
      <c r="E80" s="1" t="s">
        <v>410</v>
      </c>
      <c r="F80" s="1" t="s">
        <v>1067</v>
      </c>
      <c r="J80" s="1" t="s">
        <v>2514</v>
      </c>
      <c r="K80" s="1" t="s">
        <v>1919</v>
      </c>
      <c r="L80" s="1" t="s">
        <v>2513</v>
      </c>
      <c r="N80" s="1" t="s">
        <v>2291</v>
      </c>
      <c r="O80" s="5" t="s">
        <v>2393</v>
      </c>
      <c r="Q80" s="1" t="s">
        <v>2215</v>
      </c>
      <c r="R80" s="1">
        <v>79</v>
      </c>
      <c r="S80" s="1">
        <f t="shared" si="2"/>
        <v>1</v>
      </c>
    </row>
    <row r="81" spans="1:19" ht="31.2">
      <c r="A81" s="1" t="s">
        <v>1752</v>
      </c>
      <c r="B81" s="1" t="s">
        <v>1958</v>
      </c>
      <c r="D81" s="1" t="s">
        <v>2611</v>
      </c>
      <c r="E81" s="1" t="s">
        <v>133</v>
      </c>
      <c r="F81" s="1" t="s">
        <v>2295</v>
      </c>
      <c r="J81" s="1" t="s">
        <v>2608</v>
      </c>
      <c r="K81" s="1" t="s">
        <v>1918</v>
      </c>
      <c r="L81" s="1" t="s">
        <v>2460</v>
      </c>
      <c r="N81" s="1" t="s">
        <v>2294</v>
      </c>
      <c r="O81" s="5" t="s">
        <v>2394</v>
      </c>
      <c r="Q81" s="1" t="s">
        <v>1993</v>
      </c>
      <c r="R81" s="1">
        <v>80</v>
      </c>
      <c r="S81" s="1">
        <f t="shared" si="2"/>
        <v>1</v>
      </c>
    </row>
    <row r="82" spans="1:19" ht="31.2">
      <c r="A82" s="1" t="s">
        <v>1752</v>
      </c>
      <c r="B82" s="1" t="s">
        <v>1958</v>
      </c>
      <c r="D82" s="1" t="s">
        <v>2609</v>
      </c>
      <c r="E82" s="1" t="s">
        <v>134</v>
      </c>
      <c r="K82" s="1" t="s">
        <v>2553</v>
      </c>
      <c r="L82" s="1" t="s">
        <v>2474</v>
      </c>
      <c r="N82" s="1" t="s">
        <v>2003</v>
      </c>
      <c r="O82" s="5" t="s">
        <v>2395</v>
      </c>
      <c r="Q82" s="1" t="s">
        <v>2198</v>
      </c>
      <c r="R82" s="1">
        <v>81</v>
      </c>
      <c r="S82" s="1">
        <f t="shared" si="2"/>
        <v>1</v>
      </c>
    </row>
    <row r="83" spans="1:19" s="11" customFormat="1" ht="34.799999999999997">
      <c r="A83" s="1" t="s">
        <v>1752</v>
      </c>
      <c r="B83" s="1" t="s">
        <v>1958</v>
      </c>
      <c r="C83" s="1"/>
      <c r="D83" s="1" t="s">
        <v>2612</v>
      </c>
      <c r="E83" s="1"/>
      <c r="F83" s="1"/>
      <c r="G83" s="1"/>
      <c r="H83" s="1"/>
      <c r="I83" s="1"/>
      <c r="J83" s="1" t="s">
        <v>2556</v>
      </c>
      <c r="K83" s="1" t="s">
        <v>2562</v>
      </c>
      <c r="L83" s="2" t="s">
        <v>2516</v>
      </c>
      <c r="M83" s="1"/>
      <c r="N83" s="1" t="s">
        <v>1031</v>
      </c>
      <c r="O83" s="5" t="s">
        <v>2343</v>
      </c>
      <c r="P83" s="1"/>
      <c r="Q83" s="1" t="s">
        <v>1992</v>
      </c>
      <c r="R83" s="1">
        <v>82</v>
      </c>
      <c r="S83" s="1">
        <f t="shared" si="2"/>
        <v>1</v>
      </c>
    </row>
    <row r="84" spans="1:19" ht="31.2">
      <c r="A84" s="1" t="s">
        <v>1752</v>
      </c>
      <c r="B84" s="1" t="s">
        <v>1958</v>
      </c>
      <c r="D84" s="1" t="s">
        <v>2613</v>
      </c>
      <c r="J84" s="1" t="s">
        <v>2475</v>
      </c>
      <c r="K84" s="1" t="s">
        <v>2563</v>
      </c>
      <c r="L84" s="1" t="s">
        <v>2517</v>
      </c>
      <c r="N84" s="1" t="s">
        <v>2007</v>
      </c>
      <c r="O84" s="5" t="s">
        <v>2396</v>
      </c>
      <c r="P84" s="1" t="s">
        <v>2006</v>
      </c>
      <c r="R84" s="1">
        <v>83</v>
      </c>
      <c r="S84" s="1">
        <f t="shared" si="2"/>
        <v>1</v>
      </c>
    </row>
    <row r="85" spans="1:19" ht="31.2">
      <c r="A85" s="20" t="s">
        <v>1752</v>
      </c>
      <c r="B85" s="20" t="s">
        <v>1754</v>
      </c>
      <c r="C85" s="20" t="s">
        <v>544</v>
      </c>
      <c r="D85" s="20" t="s">
        <v>2621</v>
      </c>
      <c r="E85" s="20"/>
      <c r="F85" s="20"/>
      <c r="G85" s="20"/>
      <c r="H85" s="20"/>
      <c r="I85" s="20"/>
      <c r="J85" s="20"/>
      <c r="K85" s="20" t="s">
        <v>2564</v>
      </c>
      <c r="L85" s="20" t="s">
        <v>2461</v>
      </c>
      <c r="M85" s="20"/>
      <c r="N85" s="20" t="s">
        <v>1004</v>
      </c>
      <c r="O85" s="21" t="s">
        <v>2397</v>
      </c>
      <c r="P85" s="20"/>
      <c r="Q85" s="20" t="s">
        <v>2219</v>
      </c>
      <c r="R85" s="20">
        <v>84</v>
      </c>
      <c r="S85" s="20">
        <f t="shared" si="2"/>
        <v>1</v>
      </c>
    </row>
    <row r="86" spans="1:19" ht="31.2">
      <c r="A86" s="1" t="s">
        <v>1752</v>
      </c>
      <c r="B86" s="1" t="s">
        <v>1754</v>
      </c>
      <c r="C86" s="1" t="s">
        <v>544</v>
      </c>
      <c r="D86" s="1" t="s">
        <v>2620</v>
      </c>
      <c r="J86" s="1" t="s">
        <v>287</v>
      </c>
      <c r="K86" s="1" t="s">
        <v>2562</v>
      </c>
      <c r="L86" s="1" t="s">
        <v>2474</v>
      </c>
      <c r="N86" s="1" t="s">
        <v>1005</v>
      </c>
      <c r="O86" s="5" t="s">
        <v>2344</v>
      </c>
      <c r="Q86" s="1" t="s">
        <v>2106</v>
      </c>
      <c r="R86" s="1">
        <v>85</v>
      </c>
      <c r="S86" s="1">
        <f t="shared" si="2"/>
        <v>1</v>
      </c>
    </row>
    <row r="87" spans="1:19" ht="31.2">
      <c r="A87" s="1" t="s">
        <v>1752</v>
      </c>
      <c r="B87" s="1" t="s">
        <v>1754</v>
      </c>
      <c r="C87" s="1" t="s">
        <v>544</v>
      </c>
      <c r="D87" s="1" t="s">
        <v>2618</v>
      </c>
      <c r="K87" s="1" t="s">
        <v>2559</v>
      </c>
      <c r="L87" s="1" t="s">
        <v>1917</v>
      </c>
      <c r="N87" s="1" t="s">
        <v>2014</v>
      </c>
      <c r="O87" s="5" t="s">
        <v>2398</v>
      </c>
      <c r="Q87" s="1" t="s">
        <v>2100</v>
      </c>
      <c r="R87" s="1">
        <v>86</v>
      </c>
      <c r="S87" s="1">
        <f t="shared" si="2"/>
        <v>1</v>
      </c>
    </row>
    <row r="88" spans="1:19" ht="31.2">
      <c r="A88" s="1" t="s">
        <v>1752</v>
      </c>
      <c r="B88" s="1" t="s">
        <v>1754</v>
      </c>
      <c r="C88" s="1" t="s">
        <v>145</v>
      </c>
      <c r="D88" s="1" t="s">
        <v>1718</v>
      </c>
      <c r="J88" s="1" t="s">
        <v>2475</v>
      </c>
      <c r="K88" s="1" t="s">
        <v>2548</v>
      </c>
      <c r="L88" s="1" t="s">
        <v>2518</v>
      </c>
      <c r="N88" s="1" t="s">
        <v>2016</v>
      </c>
      <c r="O88" s="5" t="s">
        <v>2399</v>
      </c>
      <c r="Q88" s="1" t="s">
        <v>2085</v>
      </c>
      <c r="R88" s="1">
        <v>87</v>
      </c>
      <c r="S88" s="1">
        <f t="shared" si="2"/>
        <v>1</v>
      </c>
    </row>
    <row r="89" spans="1:19">
      <c r="A89" s="1" t="s">
        <v>1752</v>
      </c>
      <c r="B89" s="1" t="s">
        <v>1754</v>
      </c>
      <c r="C89" s="1" t="s">
        <v>145</v>
      </c>
      <c r="D89" s="1" t="s">
        <v>2057</v>
      </c>
      <c r="J89" s="1" t="s">
        <v>2608</v>
      </c>
      <c r="K89" s="1" t="s">
        <v>2548</v>
      </c>
      <c r="L89" s="1" t="s">
        <v>2470</v>
      </c>
      <c r="N89" s="1" t="s">
        <v>2018</v>
      </c>
      <c r="O89" s="5" t="s">
        <v>2400</v>
      </c>
      <c r="Q89" s="1" t="s">
        <v>2192</v>
      </c>
      <c r="R89" s="1">
        <v>88</v>
      </c>
      <c r="S89" s="1">
        <f t="shared" si="2"/>
        <v>1</v>
      </c>
    </row>
    <row r="90" spans="1:19" s="20" customFormat="1" ht="31.2">
      <c r="A90" s="22" t="s">
        <v>1752</v>
      </c>
      <c r="B90" s="22" t="s">
        <v>1754</v>
      </c>
      <c r="C90" s="22" t="s">
        <v>145</v>
      </c>
      <c r="D90" s="22" t="s">
        <v>1767</v>
      </c>
      <c r="E90" s="22"/>
      <c r="F90" s="22"/>
      <c r="G90" s="22"/>
      <c r="H90" s="22" t="s">
        <v>2661</v>
      </c>
      <c r="I90" s="22"/>
      <c r="J90" s="22" t="s">
        <v>2501</v>
      </c>
      <c r="K90" s="22" t="s">
        <v>2501</v>
      </c>
      <c r="L90" s="22" t="s">
        <v>2465</v>
      </c>
      <c r="M90" s="22"/>
      <c r="N90" s="22" t="s">
        <v>1111</v>
      </c>
      <c r="O90" s="24" t="s">
        <v>2401</v>
      </c>
      <c r="P90" s="22"/>
      <c r="Q90" s="22" t="s">
        <v>2237</v>
      </c>
      <c r="R90" s="22">
        <v>89</v>
      </c>
      <c r="S90" s="22">
        <f t="shared" si="2"/>
        <v>1</v>
      </c>
    </row>
    <row r="91" spans="1:19" ht="31.2">
      <c r="A91" s="17" t="s">
        <v>1752</v>
      </c>
      <c r="B91" s="17" t="s">
        <v>1754</v>
      </c>
      <c r="C91" s="17" t="s">
        <v>145</v>
      </c>
      <c r="D91" s="17" t="s">
        <v>2039</v>
      </c>
      <c r="E91" s="17"/>
      <c r="F91" s="17"/>
      <c r="G91" s="17"/>
      <c r="H91" s="17"/>
      <c r="I91" s="17"/>
      <c r="J91" s="17" t="s">
        <v>2475</v>
      </c>
      <c r="K91" s="17" t="s">
        <v>2548</v>
      </c>
      <c r="L91" s="17" t="s">
        <v>2519</v>
      </c>
      <c r="M91" s="17"/>
      <c r="N91" s="17" t="s">
        <v>1006</v>
      </c>
      <c r="O91" s="18" t="s">
        <v>2402</v>
      </c>
      <c r="P91" s="17"/>
      <c r="Q91" s="17" t="s">
        <v>2126</v>
      </c>
      <c r="R91" s="17">
        <v>90</v>
      </c>
      <c r="S91" s="17">
        <f t="shared" si="2"/>
        <v>1</v>
      </c>
    </row>
    <row r="92" spans="1:19" ht="31.2">
      <c r="A92" s="7" t="s">
        <v>1755</v>
      </c>
      <c r="B92" s="7" t="s">
        <v>2058</v>
      </c>
      <c r="C92" s="7"/>
      <c r="D92" s="7" t="s">
        <v>1719</v>
      </c>
      <c r="E92" s="7"/>
      <c r="F92" s="7"/>
      <c r="G92" s="7"/>
      <c r="H92" s="7" t="s">
        <v>2643</v>
      </c>
      <c r="I92" s="7"/>
      <c r="J92" s="7"/>
      <c r="K92" s="7" t="s">
        <v>1919</v>
      </c>
      <c r="L92" s="7" t="s">
        <v>1917</v>
      </c>
      <c r="M92" s="7"/>
      <c r="N92" s="7" t="s">
        <v>1082</v>
      </c>
      <c r="O92" s="8" t="s">
        <v>2403</v>
      </c>
      <c r="P92" s="7"/>
      <c r="Q92" s="7"/>
      <c r="R92" s="7">
        <v>91</v>
      </c>
      <c r="S92" s="7">
        <f t="shared" ref="S92:S123" si="3">COUNTIF(F:P,N92)</f>
        <v>6</v>
      </c>
    </row>
    <row r="93" spans="1:19" ht="31.2">
      <c r="A93" s="7" t="s">
        <v>1755</v>
      </c>
      <c r="B93" s="7" t="s">
        <v>2058</v>
      </c>
      <c r="C93" s="7"/>
      <c r="D93" s="7" t="s">
        <v>2027</v>
      </c>
      <c r="E93" s="7"/>
      <c r="F93" s="7"/>
      <c r="G93" s="7"/>
      <c r="H93" s="7" t="s">
        <v>2654</v>
      </c>
      <c r="I93" s="7"/>
      <c r="J93" s="7" t="s">
        <v>2521</v>
      </c>
      <c r="K93" s="7"/>
      <c r="L93" s="7" t="s">
        <v>2520</v>
      </c>
      <c r="M93" s="7"/>
      <c r="N93" s="7" t="s">
        <v>1088</v>
      </c>
      <c r="O93" s="8" t="s">
        <v>2404</v>
      </c>
      <c r="P93" s="7"/>
      <c r="Q93" s="7" t="s">
        <v>1970</v>
      </c>
      <c r="R93" s="7">
        <v>92</v>
      </c>
      <c r="S93" s="7">
        <f t="shared" si="3"/>
        <v>2</v>
      </c>
    </row>
    <row r="94" spans="1:19" ht="31.2">
      <c r="A94" s="7" t="s">
        <v>1755</v>
      </c>
      <c r="B94" s="7" t="s">
        <v>2058</v>
      </c>
      <c r="C94" s="7"/>
      <c r="D94" s="7" t="s">
        <v>132</v>
      </c>
      <c r="E94" s="7"/>
      <c r="F94" s="7"/>
      <c r="G94" s="7"/>
      <c r="H94" s="7" t="s">
        <v>2651</v>
      </c>
      <c r="I94" s="7"/>
      <c r="J94" s="7" t="s">
        <v>287</v>
      </c>
      <c r="K94" s="7" t="s">
        <v>2553</v>
      </c>
      <c r="L94" s="7" t="s">
        <v>2523</v>
      </c>
      <c r="M94" s="7"/>
      <c r="N94" s="7" t="s">
        <v>1024</v>
      </c>
      <c r="O94" s="8" t="s">
        <v>2345</v>
      </c>
      <c r="P94" s="7"/>
      <c r="Q94" s="7"/>
      <c r="R94" s="7">
        <v>93</v>
      </c>
      <c r="S94" s="7">
        <f t="shared" si="3"/>
        <v>5</v>
      </c>
    </row>
    <row r="95" spans="1:19" s="7" customFormat="1" ht="31.2">
      <c r="A95" s="1" t="s">
        <v>1755</v>
      </c>
      <c r="B95" s="1" t="s">
        <v>2058</v>
      </c>
      <c r="C95" s="1"/>
      <c r="D95" s="1" t="s">
        <v>2063</v>
      </c>
      <c r="E95" s="1"/>
      <c r="F95" s="1"/>
      <c r="G95" s="1"/>
      <c r="H95" s="1"/>
      <c r="I95" s="1"/>
      <c r="J95" s="1" t="s">
        <v>2565</v>
      </c>
      <c r="K95" s="1"/>
      <c r="L95" s="1" t="s">
        <v>2531</v>
      </c>
      <c r="M95" s="1"/>
      <c r="N95" s="1" t="s">
        <v>1061</v>
      </c>
      <c r="O95" s="5" t="s">
        <v>2405</v>
      </c>
      <c r="P95" s="1"/>
      <c r="Q95" s="1" t="s">
        <v>1973</v>
      </c>
      <c r="R95" s="1">
        <v>94</v>
      </c>
      <c r="S95" s="1">
        <f t="shared" si="3"/>
        <v>3</v>
      </c>
    </row>
    <row r="96" spans="1:19" s="7" customFormat="1" ht="31.2">
      <c r="A96" s="1" t="s">
        <v>1755</v>
      </c>
      <c r="B96" s="1" t="s">
        <v>2059</v>
      </c>
      <c r="C96" s="1" t="s">
        <v>2118</v>
      </c>
      <c r="D96" s="1" t="s">
        <v>2135</v>
      </c>
      <c r="E96" s="1"/>
      <c r="F96" s="1"/>
      <c r="G96" s="1"/>
      <c r="H96" s="1"/>
      <c r="I96" s="1"/>
      <c r="J96" s="1" t="s">
        <v>2556</v>
      </c>
      <c r="K96" s="1" t="s">
        <v>2566</v>
      </c>
      <c r="L96" s="1" t="s">
        <v>2523</v>
      </c>
      <c r="M96" s="1"/>
      <c r="N96" s="1" t="s">
        <v>2087</v>
      </c>
      <c r="O96" s="5" t="s">
        <v>2406</v>
      </c>
      <c r="P96" s="1"/>
      <c r="Q96" s="1" t="s">
        <v>2108</v>
      </c>
      <c r="R96" s="1">
        <v>95</v>
      </c>
      <c r="S96" s="1">
        <f t="shared" si="3"/>
        <v>1</v>
      </c>
    </row>
    <row r="97" spans="1:19" s="7" customFormat="1" ht="31.2">
      <c r="A97" s="1" t="s">
        <v>1755</v>
      </c>
      <c r="B97" s="1" t="s">
        <v>2059</v>
      </c>
      <c r="C97" s="1" t="s">
        <v>409</v>
      </c>
      <c r="D97" s="1" t="s">
        <v>587</v>
      </c>
      <c r="E97" s="1" t="s">
        <v>1411</v>
      </c>
      <c r="F97" s="1"/>
      <c r="G97" s="1"/>
      <c r="H97" s="1"/>
      <c r="I97" s="1"/>
      <c r="J97" s="1" t="s">
        <v>2514</v>
      </c>
      <c r="K97" s="1" t="s">
        <v>2563</v>
      </c>
      <c r="L97" s="1" t="s">
        <v>2525</v>
      </c>
      <c r="M97" s="1"/>
      <c r="N97" s="1" t="s">
        <v>2134</v>
      </c>
      <c r="O97" s="5" t="s">
        <v>2407</v>
      </c>
      <c r="P97" s="1" t="s">
        <v>2088</v>
      </c>
      <c r="Q97" s="1" t="s">
        <v>2233</v>
      </c>
      <c r="R97" s="1">
        <v>96</v>
      </c>
      <c r="S97" s="1">
        <f t="shared" si="3"/>
        <v>1</v>
      </c>
    </row>
    <row r="98" spans="1:19" ht="31.2">
      <c r="A98" s="1" t="s">
        <v>1755</v>
      </c>
      <c r="B98" s="1" t="s">
        <v>2059</v>
      </c>
      <c r="C98" s="1" t="s">
        <v>410</v>
      </c>
      <c r="D98" s="1" t="s">
        <v>2064</v>
      </c>
      <c r="K98" s="1" t="s">
        <v>2553</v>
      </c>
      <c r="L98" s="1" t="s">
        <v>2473</v>
      </c>
      <c r="N98" s="1" t="s">
        <v>1116</v>
      </c>
      <c r="O98" s="5" t="s">
        <v>2408</v>
      </c>
      <c r="Q98" s="1" t="s">
        <v>2231</v>
      </c>
      <c r="R98" s="1">
        <v>97</v>
      </c>
      <c r="S98" s="1">
        <f t="shared" si="3"/>
        <v>2</v>
      </c>
    </row>
    <row r="99" spans="1:19" s="13" customFormat="1" ht="31.2">
      <c r="A99" s="1" t="s">
        <v>1755</v>
      </c>
      <c r="B99" s="1" t="s">
        <v>2059</v>
      </c>
      <c r="C99" s="1" t="s">
        <v>410</v>
      </c>
      <c r="D99" s="1" t="s">
        <v>2065</v>
      </c>
      <c r="E99" s="1"/>
      <c r="F99" s="1" t="s">
        <v>1119</v>
      </c>
      <c r="G99" s="1"/>
      <c r="H99" s="1"/>
      <c r="I99" s="1"/>
      <c r="J99" s="1"/>
      <c r="K99" s="1" t="s">
        <v>2567</v>
      </c>
      <c r="L99" s="1" t="s">
        <v>2526</v>
      </c>
      <c r="M99" s="1"/>
      <c r="N99" s="1" t="s">
        <v>2133</v>
      </c>
      <c r="O99" s="5" t="s">
        <v>2409</v>
      </c>
      <c r="P99" s="1"/>
      <c r="Q99" s="1" t="s">
        <v>2235</v>
      </c>
      <c r="R99" s="1">
        <v>98</v>
      </c>
      <c r="S99" s="1">
        <f t="shared" si="3"/>
        <v>1</v>
      </c>
    </row>
    <row r="100" spans="1:19" s="13" customFormat="1" ht="31.2">
      <c r="A100" s="1" t="s">
        <v>1755</v>
      </c>
      <c r="B100" s="1" t="s">
        <v>2059</v>
      </c>
      <c r="C100" s="1" t="s">
        <v>410</v>
      </c>
      <c r="D100" s="1" t="s">
        <v>2066</v>
      </c>
      <c r="E100" s="1"/>
      <c r="F100" s="1"/>
      <c r="G100" s="1"/>
      <c r="H100" s="1"/>
      <c r="I100" s="1"/>
      <c r="J100" s="1"/>
      <c r="K100" s="1" t="s">
        <v>2568</v>
      </c>
      <c r="L100" s="1" t="s">
        <v>2523</v>
      </c>
      <c r="M100" s="1"/>
      <c r="N100" s="1" t="s">
        <v>1046</v>
      </c>
      <c r="O100" s="5" t="s">
        <v>2410</v>
      </c>
      <c r="P100" s="1"/>
      <c r="Q100" s="1" t="s">
        <v>2005</v>
      </c>
      <c r="R100" s="1">
        <v>99</v>
      </c>
      <c r="S100" s="1">
        <f t="shared" si="3"/>
        <v>1</v>
      </c>
    </row>
    <row r="101" spans="1:19" ht="31.2">
      <c r="A101" s="7" t="s">
        <v>1755</v>
      </c>
      <c r="B101" s="7" t="s">
        <v>2113</v>
      </c>
      <c r="C101" s="7" t="s">
        <v>88</v>
      </c>
      <c r="D101" s="7" t="s">
        <v>2119</v>
      </c>
      <c r="E101" s="7"/>
      <c r="F101" s="7" t="s">
        <v>2300</v>
      </c>
      <c r="G101" s="7"/>
      <c r="H101" s="7" t="s">
        <v>2643</v>
      </c>
      <c r="I101" s="7"/>
      <c r="J101" s="7"/>
      <c r="K101" s="7" t="s">
        <v>2569</v>
      </c>
      <c r="L101" s="7" t="s">
        <v>1917</v>
      </c>
      <c r="M101" s="7"/>
      <c r="N101" s="7" t="s">
        <v>1594</v>
      </c>
      <c r="O101" s="8" t="s">
        <v>2411</v>
      </c>
      <c r="P101" s="7"/>
      <c r="Q101" s="7"/>
      <c r="R101" s="7">
        <v>100</v>
      </c>
      <c r="S101" s="7">
        <f t="shared" si="3"/>
        <v>6</v>
      </c>
    </row>
    <row r="102" spans="1:19" ht="31.2">
      <c r="A102" s="25" t="s">
        <v>1755</v>
      </c>
      <c r="B102" s="25" t="s">
        <v>2113</v>
      </c>
      <c r="C102" s="25" t="s">
        <v>184</v>
      </c>
      <c r="D102" s="25" t="s">
        <v>2026</v>
      </c>
      <c r="E102" s="25"/>
      <c r="F102" s="25"/>
      <c r="G102" s="25"/>
      <c r="H102" s="25" t="s">
        <v>1836</v>
      </c>
      <c r="I102" s="25"/>
      <c r="J102" s="25" t="s">
        <v>2528</v>
      </c>
      <c r="K102" s="25"/>
      <c r="L102" s="25" t="s">
        <v>2510</v>
      </c>
      <c r="M102" s="25"/>
      <c r="N102" s="25" t="s">
        <v>2127</v>
      </c>
      <c r="O102" s="26" t="s">
        <v>2412</v>
      </c>
      <c r="P102" s="25"/>
      <c r="Q102" s="25" t="s">
        <v>2011</v>
      </c>
      <c r="R102" s="25">
        <v>101</v>
      </c>
      <c r="S102" s="25">
        <f t="shared" si="3"/>
        <v>1</v>
      </c>
    </row>
    <row r="103" spans="1:19" ht="31.2">
      <c r="A103" s="1" t="s">
        <v>1755</v>
      </c>
      <c r="B103" s="1" t="s">
        <v>2113</v>
      </c>
      <c r="C103" s="1" t="s">
        <v>133</v>
      </c>
      <c r="D103" s="1" t="s">
        <v>2121</v>
      </c>
      <c r="K103" s="1" t="s">
        <v>1918</v>
      </c>
      <c r="L103" s="1" t="s">
        <v>2529</v>
      </c>
      <c r="N103" s="1" t="s">
        <v>2129</v>
      </c>
      <c r="O103" s="5" t="s">
        <v>2413</v>
      </c>
      <c r="R103" s="1">
        <v>102</v>
      </c>
      <c r="S103" s="1">
        <f t="shared" si="3"/>
        <v>2</v>
      </c>
    </row>
    <row r="104" spans="1:19" ht="31.2">
      <c r="A104" s="1" t="s">
        <v>1755</v>
      </c>
      <c r="B104" s="1" t="s">
        <v>2113</v>
      </c>
      <c r="C104" s="1" t="s">
        <v>134</v>
      </c>
      <c r="D104" s="1" t="s">
        <v>2122</v>
      </c>
      <c r="F104" s="1" t="s">
        <v>1116</v>
      </c>
      <c r="J104" s="1" t="s">
        <v>2530</v>
      </c>
      <c r="L104" s="1" t="s">
        <v>2473</v>
      </c>
      <c r="N104" s="1" t="s">
        <v>2299</v>
      </c>
      <c r="O104" s="5" t="s">
        <v>2346</v>
      </c>
      <c r="Q104" s="1" t="s">
        <v>2247</v>
      </c>
      <c r="R104" s="1">
        <v>103</v>
      </c>
      <c r="S104" s="1">
        <f t="shared" si="3"/>
        <v>1</v>
      </c>
    </row>
    <row r="105" spans="1:19" ht="31.2">
      <c r="A105" s="29" t="s">
        <v>1755</v>
      </c>
      <c r="B105" s="29" t="s">
        <v>2113</v>
      </c>
      <c r="C105" s="29" t="s">
        <v>410</v>
      </c>
      <c r="D105" s="29" t="s">
        <v>2123</v>
      </c>
      <c r="E105" s="29"/>
      <c r="F105" s="29" t="s">
        <v>2140</v>
      </c>
      <c r="G105" s="29"/>
      <c r="H105" s="29" t="s">
        <v>2664</v>
      </c>
      <c r="I105" s="29"/>
      <c r="J105" s="31" t="s">
        <v>2607</v>
      </c>
      <c r="K105" s="31" t="s">
        <v>2580</v>
      </c>
      <c r="L105" s="29" t="s">
        <v>2463</v>
      </c>
      <c r="M105" s="29"/>
      <c r="N105" s="29" t="s">
        <v>1645</v>
      </c>
      <c r="O105" s="30" t="s">
        <v>2414</v>
      </c>
      <c r="P105" s="29"/>
      <c r="Q105" s="29"/>
      <c r="R105" s="29">
        <v>104</v>
      </c>
      <c r="S105" s="29">
        <f t="shared" si="3"/>
        <v>3</v>
      </c>
    </row>
    <row r="106" spans="1:19" ht="31.2">
      <c r="A106" s="1" t="s">
        <v>1755</v>
      </c>
      <c r="B106" s="1" t="s">
        <v>2113</v>
      </c>
      <c r="C106" s="1" t="s">
        <v>409</v>
      </c>
      <c r="D106" s="1" t="s">
        <v>2124</v>
      </c>
      <c r="F106" s="1" t="s">
        <v>1057</v>
      </c>
      <c r="J106" s="2" t="s">
        <v>2590</v>
      </c>
      <c r="K106" s="2" t="s">
        <v>2591</v>
      </c>
      <c r="L106" s="1" t="s">
        <v>2531</v>
      </c>
      <c r="N106" s="1" t="s">
        <v>1641</v>
      </c>
      <c r="O106" s="5" t="s">
        <v>2347</v>
      </c>
      <c r="Q106" s="1" t="s">
        <v>1975</v>
      </c>
      <c r="R106" s="1">
        <v>105</v>
      </c>
      <c r="S106" s="1">
        <f t="shared" si="3"/>
        <v>3</v>
      </c>
    </row>
    <row r="107" spans="1:19">
      <c r="A107" s="1" t="s">
        <v>1755</v>
      </c>
      <c r="B107" s="1" t="s">
        <v>1776</v>
      </c>
      <c r="C107" s="1" t="s">
        <v>1759</v>
      </c>
      <c r="D107" s="1" t="s">
        <v>2143</v>
      </c>
      <c r="K107" s="1" t="s">
        <v>1919</v>
      </c>
      <c r="L107" s="1" t="s">
        <v>2532</v>
      </c>
      <c r="N107" s="1" t="s">
        <v>1704</v>
      </c>
      <c r="O107" s="5" t="s">
        <v>2415</v>
      </c>
      <c r="Q107" s="1" t="s">
        <v>2008</v>
      </c>
      <c r="R107" s="1">
        <v>106</v>
      </c>
      <c r="S107" s="1">
        <f t="shared" si="3"/>
        <v>1</v>
      </c>
    </row>
    <row r="108" spans="1:19" ht="31.2">
      <c r="A108" s="1" t="s">
        <v>1755</v>
      </c>
      <c r="B108" s="1" t="s">
        <v>1776</v>
      </c>
      <c r="C108" s="1" t="s">
        <v>1759</v>
      </c>
      <c r="D108" s="1" t="s">
        <v>2144</v>
      </c>
      <c r="J108" s="1" t="s">
        <v>2587</v>
      </c>
      <c r="K108" s="1" t="s">
        <v>1915</v>
      </c>
      <c r="L108" s="1" t="s">
        <v>1903</v>
      </c>
      <c r="N108" s="1" t="s">
        <v>2061</v>
      </c>
      <c r="O108" s="5" t="s">
        <v>2416</v>
      </c>
      <c r="P108" s="1" t="s">
        <v>2090</v>
      </c>
      <c r="Q108" s="1" t="s">
        <v>2228</v>
      </c>
      <c r="R108" s="1">
        <v>107</v>
      </c>
      <c r="S108" s="1">
        <f t="shared" si="3"/>
        <v>1</v>
      </c>
    </row>
    <row r="109" spans="1:19">
      <c r="A109" s="1" t="s">
        <v>1755</v>
      </c>
      <c r="B109" s="1" t="s">
        <v>1776</v>
      </c>
      <c r="C109" s="1" t="s">
        <v>1759</v>
      </c>
      <c r="D109" s="1" t="s">
        <v>2145</v>
      </c>
      <c r="J109" s="1" t="s">
        <v>1918</v>
      </c>
      <c r="L109" s="1" t="s">
        <v>2533</v>
      </c>
      <c r="N109" s="1" t="s">
        <v>1128</v>
      </c>
      <c r="O109" s="5" t="s">
        <v>2417</v>
      </c>
      <c r="Q109" s="1" t="s">
        <v>2109</v>
      </c>
      <c r="R109" s="1">
        <v>108</v>
      </c>
      <c r="S109" s="1">
        <f t="shared" si="3"/>
        <v>1</v>
      </c>
    </row>
    <row r="110" spans="1:19" ht="31.2">
      <c r="A110" s="7" t="s">
        <v>1755</v>
      </c>
      <c r="B110" s="7" t="s">
        <v>1776</v>
      </c>
      <c r="C110" s="7" t="s">
        <v>1778</v>
      </c>
      <c r="D110" s="7" t="s">
        <v>2146</v>
      </c>
      <c r="E110" s="7"/>
      <c r="F110" s="7"/>
      <c r="G110" s="7"/>
      <c r="H110" s="7" t="s">
        <v>2650</v>
      </c>
      <c r="I110" s="7"/>
      <c r="J110" s="7" t="s">
        <v>2522</v>
      </c>
      <c r="K110" s="7" t="s">
        <v>2552</v>
      </c>
      <c r="L110" s="7" t="s">
        <v>2473</v>
      </c>
      <c r="M110" s="7"/>
      <c r="N110" s="7" t="s">
        <v>1106</v>
      </c>
      <c r="O110" s="8" t="s">
        <v>2418</v>
      </c>
      <c r="P110" s="7" t="s">
        <v>2092</v>
      </c>
      <c r="Q110" s="7"/>
      <c r="R110" s="7">
        <v>109</v>
      </c>
      <c r="S110" s="7">
        <f t="shared" si="3"/>
        <v>3</v>
      </c>
    </row>
    <row r="111" spans="1:19">
      <c r="A111" s="7" t="s">
        <v>1755</v>
      </c>
      <c r="B111" s="7" t="s">
        <v>1776</v>
      </c>
      <c r="C111" s="7" t="s">
        <v>1778</v>
      </c>
      <c r="D111" s="7" t="s">
        <v>2147</v>
      </c>
      <c r="E111" s="7"/>
      <c r="F111" s="7"/>
      <c r="G111" s="7"/>
      <c r="H111" s="7" t="s">
        <v>2649</v>
      </c>
      <c r="I111" s="7"/>
      <c r="J111" s="7"/>
      <c r="K111" s="7" t="s">
        <v>1918</v>
      </c>
      <c r="L111" s="7" t="s">
        <v>2640</v>
      </c>
      <c r="M111" s="7"/>
      <c r="N111" s="7" t="s">
        <v>1136</v>
      </c>
      <c r="O111" s="8" t="s">
        <v>2419</v>
      </c>
      <c r="P111" s="7" t="s">
        <v>2093</v>
      </c>
      <c r="Q111" s="7"/>
      <c r="R111" s="7">
        <v>110</v>
      </c>
      <c r="S111" s="7">
        <f t="shared" si="3"/>
        <v>3</v>
      </c>
    </row>
    <row r="112" spans="1:19" s="19" customFormat="1" ht="31.2">
      <c r="A112" s="7" t="s">
        <v>1755</v>
      </c>
      <c r="B112" s="7" t="s">
        <v>1776</v>
      </c>
      <c r="C112" s="7" t="s">
        <v>1778</v>
      </c>
      <c r="D112" s="7" t="s">
        <v>2026</v>
      </c>
      <c r="E112" s="7"/>
      <c r="F112" s="7"/>
      <c r="G112" s="7"/>
      <c r="H112" s="7" t="s">
        <v>2655</v>
      </c>
      <c r="I112" s="7"/>
      <c r="J112" s="10" t="s">
        <v>2592</v>
      </c>
      <c r="K112" s="10" t="s">
        <v>1919</v>
      </c>
      <c r="L112" s="7" t="s">
        <v>2535</v>
      </c>
      <c r="M112" s="7"/>
      <c r="N112" s="7" t="s">
        <v>1848</v>
      </c>
      <c r="O112" s="8" t="s">
        <v>2420</v>
      </c>
      <c r="P112" s="7"/>
      <c r="Q112" s="7"/>
      <c r="R112" s="7">
        <v>111</v>
      </c>
      <c r="S112" s="7">
        <f t="shared" si="3"/>
        <v>2</v>
      </c>
    </row>
    <row r="113" spans="1:19" s="19" customFormat="1" ht="31.2">
      <c r="A113" s="1" t="s">
        <v>1755</v>
      </c>
      <c r="B113" s="1" t="s">
        <v>1776</v>
      </c>
      <c r="C113" s="1" t="s">
        <v>1778</v>
      </c>
      <c r="D113" s="1" t="s">
        <v>2057</v>
      </c>
      <c r="E113" s="1" t="s">
        <v>2149</v>
      </c>
      <c r="F113" s="1"/>
      <c r="G113" s="1"/>
      <c r="H113" s="1"/>
      <c r="I113" s="1"/>
      <c r="J113" s="1" t="s">
        <v>2475</v>
      </c>
      <c r="K113" s="1" t="s">
        <v>1919</v>
      </c>
      <c r="L113" s="1" t="s">
        <v>1906</v>
      </c>
      <c r="M113" s="1"/>
      <c r="N113" s="1" t="s">
        <v>2096</v>
      </c>
      <c r="O113" s="5" t="s">
        <v>2421</v>
      </c>
      <c r="P113" s="1"/>
      <c r="Q113" s="1" t="s">
        <v>2130</v>
      </c>
      <c r="R113" s="1">
        <v>112</v>
      </c>
      <c r="S113" s="1">
        <f t="shared" si="3"/>
        <v>1</v>
      </c>
    </row>
    <row r="114" spans="1:19" s="19" customFormat="1">
      <c r="A114" s="1" t="s">
        <v>1755</v>
      </c>
      <c r="B114" s="1" t="s">
        <v>1776</v>
      </c>
      <c r="C114" s="1" t="s">
        <v>1778</v>
      </c>
      <c r="D114" s="1" t="s">
        <v>2464</v>
      </c>
      <c r="E114" s="1" t="s">
        <v>1683</v>
      </c>
      <c r="F114" s="1"/>
      <c r="G114" s="1"/>
      <c r="H114" s="1"/>
      <c r="I114" s="1"/>
      <c r="J114" s="1" t="s">
        <v>287</v>
      </c>
      <c r="K114" s="1" t="s">
        <v>2593</v>
      </c>
      <c r="L114" s="1" t="s">
        <v>2477</v>
      </c>
      <c r="M114" s="1"/>
      <c r="N114" s="1" t="s">
        <v>2098</v>
      </c>
      <c r="O114" s="5" t="s">
        <v>2422</v>
      </c>
      <c r="P114" s="1" t="s">
        <v>2097</v>
      </c>
      <c r="Q114" s="1" t="s">
        <v>2010</v>
      </c>
      <c r="R114" s="1">
        <v>113</v>
      </c>
      <c r="S114" s="1">
        <f t="shared" si="3"/>
        <v>1</v>
      </c>
    </row>
    <row r="115" spans="1:19" s="19" customFormat="1" ht="31.2">
      <c r="A115" s="7" t="s">
        <v>1755</v>
      </c>
      <c r="B115" s="7" t="s">
        <v>2060</v>
      </c>
      <c r="C115" s="7"/>
      <c r="D115" s="7" t="s">
        <v>2067</v>
      </c>
      <c r="E115" s="7"/>
      <c r="F115" s="7"/>
      <c r="G115" s="7"/>
      <c r="H115" s="7" t="s">
        <v>2650</v>
      </c>
      <c r="I115" s="7"/>
      <c r="J115" s="7" t="s">
        <v>2522</v>
      </c>
      <c r="K115" s="7" t="s">
        <v>2552</v>
      </c>
      <c r="L115" s="7" t="s">
        <v>2473</v>
      </c>
      <c r="M115" s="7"/>
      <c r="N115" s="7" t="s">
        <v>1712</v>
      </c>
      <c r="O115" s="8" t="s">
        <v>2423</v>
      </c>
      <c r="P115" s="7"/>
      <c r="Q115" s="7"/>
      <c r="R115" s="7">
        <v>114</v>
      </c>
      <c r="S115" s="7">
        <f t="shared" si="3"/>
        <v>3</v>
      </c>
    </row>
    <row r="116" spans="1:19" s="19" customFormat="1" ht="31.2">
      <c r="A116" s="7" t="s">
        <v>1755</v>
      </c>
      <c r="B116" s="7" t="s">
        <v>2060</v>
      </c>
      <c r="C116" s="7"/>
      <c r="D116" s="7" t="s">
        <v>1805</v>
      </c>
      <c r="E116" s="7"/>
      <c r="F116" s="7"/>
      <c r="G116" s="7"/>
      <c r="H116" s="7" t="s">
        <v>2649</v>
      </c>
      <c r="I116" s="7"/>
      <c r="J116" s="7"/>
      <c r="K116" s="7" t="s">
        <v>1918</v>
      </c>
      <c r="L116" s="7" t="s">
        <v>2537</v>
      </c>
      <c r="M116" s="7"/>
      <c r="N116" s="7" t="s">
        <v>1136</v>
      </c>
      <c r="O116" s="8" t="s">
        <v>2424</v>
      </c>
      <c r="P116" s="7"/>
      <c r="Q116" s="7"/>
      <c r="R116" s="7">
        <v>115</v>
      </c>
      <c r="S116" s="7">
        <f t="shared" si="3"/>
        <v>3</v>
      </c>
    </row>
    <row r="117" spans="1:19" s="19" customFormat="1" ht="31.2">
      <c r="A117" s="1" t="s">
        <v>1755</v>
      </c>
      <c r="B117" s="1" t="s">
        <v>2060</v>
      </c>
      <c r="C117" s="1"/>
      <c r="D117" s="1" t="s">
        <v>2069</v>
      </c>
      <c r="E117" s="1"/>
      <c r="F117" s="1"/>
      <c r="G117" s="1"/>
      <c r="H117" s="1"/>
      <c r="I117" s="1"/>
      <c r="J117" s="1" t="s">
        <v>2608</v>
      </c>
      <c r="K117" s="1" t="s">
        <v>1919</v>
      </c>
      <c r="L117" s="1" t="s">
        <v>1906</v>
      </c>
      <c r="M117" s="1"/>
      <c r="N117" s="1" t="s">
        <v>1055</v>
      </c>
      <c r="O117" s="5" t="s">
        <v>2425</v>
      </c>
      <c r="P117" s="1"/>
      <c r="Q117" s="1"/>
      <c r="R117" s="1">
        <v>116</v>
      </c>
      <c r="S117" s="1">
        <f t="shared" si="3"/>
        <v>9</v>
      </c>
    </row>
    <row r="118" spans="1:19" s="19" customFormat="1" ht="46.8">
      <c r="A118" s="29" t="s">
        <v>1755</v>
      </c>
      <c r="B118" s="29" t="s">
        <v>2060</v>
      </c>
      <c r="C118" s="29"/>
      <c r="D118" s="29" t="s">
        <v>2070</v>
      </c>
      <c r="E118" s="29"/>
      <c r="F118" s="29"/>
      <c r="G118" s="29"/>
      <c r="H118" s="29" t="s">
        <v>2663</v>
      </c>
      <c r="I118" s="29" t="s">
        <v>1814</v>
      </c>
      <c r="J118" s="31" t="s">
        <v>2636</v>
      </c>
      <c r="K118" s="31" t="s">
        <v>2600</v>
      </c>
      <c r="L118" s="31" t="s">
        <v>2538</v>
      </c>
      <c r="M118" s="29"/>
      <c r="N118" s="29" t="s">
        <v>1058</v>
      </c>
      <c r="O118" s="30" t="s">
        <v>2426</v>
      </c>
      <c r="P118" s="29"/>
      <c r="Q118" s="29" t="s">
        <v>1984</v>
      </c>
      <c r="R118" s="29">
        <v>117</v>
      </c>
      <c r="S118" s="29">
        <f t="shared" si="3"/>
        <v>3</v>
      </c>
    </row>
    <row r="119" spans="1:19" s="19" customFormat="1" ht="31.2">
      <c r="A119" s="7" t="s">
        <v>1755</v>
      </c>
      <c r="B119" s="7" t="s">
        <v>1715</v>
      </c>
      <c r="C119" s="7" t="s">
        <v>2155</v>
      </c>
      <c r="D119" s="7" t="s">
        <v>1952</v>
      </c>
      <c r="E119" s="7"/>
      <c r="F119" s="7" t="s">
        <v>2302</v>
      </c>
      <c r="G119" s="7"/>
      <c r="H119" s="7" t="s">
        <v>2649</v>
      </c>
      <c r="I119" s="7"/>
      <c r="J119" s="10" t="s">
        <v>2585</v>
      </c>
      <c r="K119" s="10" t="s">
        <v>1919</v>
      </c>
      <c r="L119" s="7" t="s">
        <v>2539</v>
      </c>
      <c r="M119" s="7"/>
      <c r="N119" s="7" t="s">
        <v>1563</v>
      </c>
      <c r="O119" s="8" t="s">
        <v>2318</v>
      </c>
      <c r="P119" s="7"/>
      <c r="Q119" s="7"/>
      <c r="R119" s="7">
        <v>118</v>
      </c>
      <c r="S119" s="7">
        <f t="shared" si="3"/>
        <v>3</v>
      </c>
    </row>
    <row r="120" spans="1:19" s="19" customFormat="1" ht="31.2">
      <c r="A120" s="7" t="s">
        <v>1755</v>
      </c>
      <c r="B120" s="7" t="s">
        <v>1715</v>
      </c>
      <c r="C120" s="7" t="s">
        <v>2155</v>
      </c>
      <c r="D120" s="7" t="s">
        <v>2072</v>
      </c>
      <c r="E120" s="7"/>
      <c r="F120" s="7"/>
      <c r="G120" s="7" t="s">
        <v>2153</v>
      </c>
      <c r="H120" s="7" t="s">
        <v>2650</v>
      </c>
      <c r="I120" s="7" t="s">
        <v>2154</v>
      </c>
      <c r="J120" s="7" t="s">
        <v>2522</v>
      </c>
      <c r="K120" s="7" t="s">
        <v>2552</v>
      </c>
      <c r="L120" s="7" t="s">
        <v>1917</v>
      </c>
      <c r="M120" s="7"/>
      <c r="N120" s="7" t="s">
        <v>1106</v>
      </c>
      <c r="O120" s="8" t="s">
        <v>2427</v>
      </c>
      <c r="P120" s="7"/>
      <c r="Q120" s="7"/>
      <c r="R120" s="7">
        <v>119</v>
      </c>
      <c r="S120" s="7">
        <f t="shared" si="3"/>
        <v>3</v>
      </c>
    </row>
    <row r="121" spans="1:19" ht="31.2">
      <c r="A121" s="1" t="s">
        <v>1755</v>
      </c>
      <c r="B121" s="1" t="s">
        <v>1715</v>
      </c>
      <c r="C121" s="1" t="s">
        <v>2155</v>
      </c>
      <c r="D121" s="1" t="s">
        <v>2073</v>
      </c>
      <c r="I121" s="1" t="s">
        <v>1814</v>
      </c>
      <c r="J121" s="1" t="s">
        <v>2476</v>
      </c>
      <c r="K121" s="1" t="s">
        <v>2563</v>
      </c>
      <c r="L121" s="1" t="s">
        <v>2540</v>
      </c>
      <c r="N121" s="1" t="s">
        <v>1105</v>
      </c>
      <c r="O121" s="5" t="s">
        <v>2428</v>
      </c>
      <c r="Q121" s="1" t="s">
        <v>2239</v>
      </c>
      <c r="R121" s="1">
        <v>120</v>
      </c>
      <c r="S121" s="1">
        <f t="shared" si="3"/>
        <v>1</v>
      </c>
    </row>
    <row r="122" spans="1:19">
      <c r="A122" s="1" t="s">
        <v>1755</v>
      </c>
      <c r="B122" s="1" t="s">
        <v>1715</v>
      </c>
      <c r="C122" s="1" t="s">
        <v>2156</v>
      </c>
      <c r="D122" s="1" t="s">
        <v>2074</v>
      </c>
      <c r="F122" s="1" t="s">
        <v>2311</v>
      </c>
      <c r="G122" s="1" t="s">
        <v>2160</v>
      </c>
      <c r="I122" s="1" t="s">
        <v>2158</v>
      </c>
      <c r="K122" s="1" t="s">
        <v>2553</v>
      </c>
      <c r="L122" s="1" t="s">
        <v>2523</v>
      </c>
      <c r="N122" s="1" t="s">
        <v>1710</v>
      </c>
      <c r="O122" s="5" t="s">
        <v>2429</v>
      </c>
      <c r="Q122" s="1" t="s">
        <v>2095</v>
      </c>
      <c r="R122" s="1">
        <v>121</v>
      </c>
      <c r="S122" s="1">
        <f t="shared" si="3"/>
        <v>1</v>
      </c>
    </row>
    <row r="123" spans="1:19" s="13" customFormat="1">
      <c r="A123" s="1" t="s">
        <v>1755</v>
      </c>
      <c r="B123" s="1" t="s">
        <v>1715</v>
      </c>
      <c r="C123" s="1" t="s">
        <v>2156</v>
      </c>
      <c r="D123" s="1" t="s">
        <v>2075</v>
      </c>
      <c r="E123" s="1"/>
      <c r="F123" s="1"/>
      <c r="G123" s="1" t="s">
        <v>2159</v>
      </c>
      <c r="H123" s="1"/>
      <c r="I123" s="1"/>
      <c r="J123" s="1" t="s">
        <v>1918</v>
      </c>
      <c r="K123" s="1"/>
      <c r="L123" s="1" t="s">
        <v>2541</v>
      </c>
      <c r="M123" s="1"/>
      <c r="N123" s="1" t="s">
        <v>2062</v>
      </c>
      <c r="O123" s="5" t="s">
        <v>2430</v>
      </c>
      <c r="P123" s="1"/>
      <c r="Q123" s="1" t="s">
        <v>2004</v>
      </c>
      <c r="R123" s="1">
        <v>122</v>
      </c>
      <c r="S123" s="1">
        <f t="shared" si="3"/>
        <v>1</v>
      </c>
    </row>
    <row r="124" spans="1:19" s="13" customFormat="1" ht="31.2">
      <c r="A124" s="11" t="s">
        <v>1755</v>
      </c>
      <c r="B124" s="11" t="s">
        <v>1715</v>
      </c>
      <c r="C124" s="11" t="s">
        <v>2156</v>
      </c>
      <c r="D124" s="11" t="s">
        <v>2076</v>
      </c>
      <c r="E124" s="11"/>
      <c r="F124" s="11" t="s">
        <v>2297</v>
      </c>
      <c r="G124" s="11" t="s">
        <v>1951</v>
      </c>
      <c r="H124" s="11" t="s">
        <v>1628</v>
      </c>
      <c r="I124" s="11" t="s">
        <v>2161</v>
      </c>
      <c r="J124" s="11" t="s">
        <v>2543</v>
      </c>
      <c r="K124" s="11"/>
      <c r="L124" s="11" t="s">
        <v>2542</v>
      </c>
      <c r="M124" s="11"/>
      <c r="N124" s="11" t="s">
        <v>1051</v>
      </c>
      <c r="O124" s="12" t="s">
        <v>2431</v>
      </c>
      <c r="P124" s="11"/>
      <c r="Q124" s="11" t="s">
        <v>1995</v>
      </c>
      <c r="R124" s="11">
        <v>123</v>
      </c>
      <c r="S124" s="11">
        <f>COUNTIF(F:P,F124)</f>
        <v>3</v>
      </c>
    </row>
    <row r="125" spans="1:19" s="13" customFormat="1">
      <c r="A125" s="1" t="s">
        <v>1755</v>
      </c>
      <c r="B125" s="1" t="s">
        <v>1715</v>
      </c>
      <c r="C125" s="1" t="s">
        <v>2157</v>
      </c>
      <c r="D125" s="1" t="s">
        <v>1952</v>
      </c>
      <c r="E125" s="1"/>
      <c r="F125" s="1"/>
      <c r="G125" s="1"/>
      <c r="H125" s="1"/>
      <c r="I125" s="1"/>
      <c r="J125" s="1" t="s">
        <v>2637</v>
      </c>
      <c r="K125" s="1" t="s">
        <v>2571</v>
      </c>
      <c r="L125" s="1" t="s">
        <v>2479</v>
      </c>
      <c r="M125" s="1"/>
      <c r="N125" s="1" t="s">
        <v>2110</v>
      </c>
      <c r="O125" s="5" t="s">
        <v>2320</v>
      </c>
      <c r="P125" s="1"/>
      <c r="Q125" s="1" t="s">
        <v>2131</v>
      </c>
      <c r="R125" s="1">
        <v>124</v>
      </c>
      <c r="S125" s="1">
        <f t="shared" ref="S125:S172" si="4">COUNTIF(F:P,N125)</f>
        <v>1</v>
      </c>
    </row>
    <row r="126" spans="1:19" s="13" customFormat="1">
      <c r="A126" s="1" t="s">
        <v>1755</v>
      </c>
      <c r="B126" s="1" t="s">
        <v>1715</v>
      </c>
      <c r="C126" s="1" t="s">
        <v>2157</v>
      </c>
      <c r="D126" s="1" t="s">
        <v>2077</v>
      </c>
      <c r="E126" s="1"/>
      <c r="F126" s="1"/>
      <c r="G126" s="1"/>
      <c r="H126" s="1"/>
      <c r="I126" s="1"/>
      <c r="J126" s="2" t="s">
        <v>2631</v>
      </c>
      <c r="K126" s="2" t="s">
        <v>1919</v>
      </c>
      <c r="L126" s="1" t="s">
        <v>2544</v>
      </c>
      <c r="M126" s="1"/>
      <c r="N126" s="1" t="s">
        <v>1089</v>
      </c>
      <c r="O126" s="5" t="s">
        <v>2432</v>
      </c>
      <c r="P126" s="1"/>
      <c r="Q126" s="1" t="s">
        <v>1975</v>
      </c>
      <c r="R126" s="1">
        <v>125</v>
      </c>
      <c r="S126" s="1">
        <f t="shared" si="4"/>
        <v>1</v>
      </c>
    </row>
    <row r="127" spans="1:19" s="7" customFormat="1" ht="31.2">
      <c r="A127" s="29" t="s">
        <v>1755</v>
      </c>
      <c r="B127" s="29" t="s">
        <v>1715</v>
      </c>
      <c r="C127" s="29" t="s">
        <v>2157</v>
      </c>
      <c r="D127" s="29" t="s">
        <v>2078</v>
      </c>
      <c r="E127" s="29"/>
      <c r="F127" s="29" t="s">
        <v>1064</v>
      </c>
      <c r="G127" s="29"/>
      <c r="H127" s="29" t="s">
        <v>2663</v>
      </c>
      <c r="I127" s="29"/>
      <c r="J127" s="29" t="s">
        <v>1942</v>
      </c>
      <c r="K127" s="29"/>
      <c r="L127" s="29" t="s">
        <v>1926</v>
      </c>
      <c r="M127" s="29"/>
      <c r="N127" s="29" t="s">
        <v>1643</v>
      </c>
      <c r="O127" s="30" t="s">
        <v>2321</v>
      </c>
      <c r="P127" s="29"/>
      <c r="Q127" s="29" t="s">
        <v>1985</v>
      </c>
      <c r="R127" s="29">
        <v>126</v>
      </c>
      <c r="S127" s="29">
        <f t="shared" si="4"/>
        <v>3</v>
      </c>
    </row>
    <row r="128" spans="1:19" s="7" customFormat="1" ht="46.8">
      <c r="A128" s="1" t="s">
        <v>767</v>
      </c>
      <c r="B128" s="1" t="s">
        <v>2162</v>
      </c>
      <c r="C128" s="1" t="s">
        <v>410</v>
      </c>
      <c r="D128" s="1" t="s">
        <v>2170</v>
      </c>
      <c r="E128" s="1" t="s">
        <v>486</v>
      </c>
      <c r="F128" s="1" t="s">
        <v>2300</v>
      </c>
      <c r="G128" s="1"/>
      <c r="H128" s="1"/>
      <c r="I128" s="1" t="s">
        <v>2259</v>
      </c>
      <c r="J128" s="1"/>
      <c r="K128" s="1" t="s">
        <v>1919</v>
      </c>
      <c r="L128" s="1" t="s">
        <v>2486</v>
      </c>
      <c r="M128" s="1"/>
      <c r="N128" s="1" t="s">
        <v>2193</v>
      </c>
      <c r="O128" s="5" t="s">
        <v>2433</v>
      </c>
      <c r="P128" s="1"/>
      <c r="Q128" s="1" t="s">
        <v>2236</v>
      </c>
      <c r="R128" s="1">
        <v>127</v>
      </c>
      <c r="S128" s="1">
        <f t="shared" si="4"/>
        <v>1</v>
      </c>
    </row>
    <row r="129" spans="1:19" ht="31.2">
      <c r="A129" s="1" t="s">
        <v>767</v>
      </c>
      <c r="B129" s="1" t="s">
        <v>2162</v>
      </c>
      <c r="C129" s="1" t="s">
        <v>410</v>
      </c>
      <c r="D129" s="1" t="s">
        <v>2172</v>
      </c>
      <c r="E129" s="1" t="s">
        <v>486</v>
      </c>
      <c r="I129" s="1" t="s">
        <v>2260</v>
      </c>
      <c r="K129" s="1" t="s">
        <v>1918</v>
      </c>
      <c r="L129" s="1" t="s">
        <v>2485</v>
      </c>
      <c r="N129" s="1" t="s">
        <v>2258</v>
      </c>
      <c r="O129" s="5" t="s">
        <v>2434</v>
      </c>
      <c r="Q129" s="1" t="s">
        <v>2221</v>
      </c>
      <c r="R129" s="1">
        <v>128</v>
      </c>
      <c r="S129" s="1">
        <f t="shared" si="4"/>
        <v>1</v>
      </c>
    </row>
    <row r="130" spans="1:19" s="7" customFormat="1" ht="31.2">
      <c r="A130" s="1" t="s">
        <v>767</v>
      </c>
      <c r="B130" s="1" t="s">
        <v>2162</v>
      </c>
      <c r="C130" s="1" t="s">
        <v>410</v>
      </c>
      <c r="D130" s="1" t="s">
        <v>2171</v>
      </c>
      <c r="E130" s="1" t="s">
        <v>189</v>
      </c>
      <c r="F130" s="1" t="s">
        <v>2263</v>
      </c>
      <c r="G130" s="1"/>
      <c r="H130" s="1"/>
      <c r="I130" s="1" t="s">
        <v>373</v>
      </c>
      <c r="J130" s="1" t="s">
        <v>287</v>
      </c>
      <c r="K130" s="1" t="s">
        <v>1915</v>
      </c>
      <c r="L130" s="1" t="s">
        <v>2484</v>
      </c>
      <c r="M130" s="1"/>
      <c r="N130" s="1" t="s">
        <v>2195</v>
      </c>
      <c r="O130" s="5" t="s">
        <v>2435</v>
      </c>
      <c r="P130" s="1"/>
      <c r="Q130" s="1" t="s">
        <v>2103</v>
      </c>
      <c r="R130" s="1">
        <v>129</v>
      </c>
      <c r="S130" s="1">
        <f t="shared" si="4"/>
        <v>1</v>
      </c>
    </row>
    <row r="131" spans="1:19" ht="31.2">
      <c r="A131" s="1" t="s">
        <v>767</v>
      </c>
      <c r="B131" s="1" t="s">
        <v>2162</v>
      </c>
      <c r="C131" s="1" t="s">
        <v>410</v>
      </c>
      <c r="D131" s="1" t="s">
        <v>2173</v>
      </c>
      <c r="E131" s="1" t="s">
        <v>189</v>
      </c>
      <c r="I131" s="1" t="s">
        <v>2261</v>
      </c>
      <c r="J131" s="1" t="s">
        <v>2522</v>
      </c>
      <c r="K131" s="1" t="s">
        <v>2553</v>
      </c>
      <c r="L131" s="1" t="s">
        <v>2642</v>
      </c>
      <c r="N131" s="1" t="s">
        <v>2252</v>
      </c>
      <c r="O131" s="5" t="s">
        <v>2348</v>
      </c>
      <c r="Q131" s="1" t="s">
        <v>2210</v>
      </c>
      <c r="R131" s="1">
        <v>130</v>
      </c>
      <c r="S131" s="1">
        <f t="shared" si="4"/>
        <v>1</v>
      </c>
    </row>
    <row r="132" spans="1:19" ht="31.2">
      <c r="A132" s="1" t="s">
        <v>767</v>
      </c>
      <c r="B132" s="1" t="s">
        <v>2162</v>
      </c>
      <c r="C132" s="1" t="s">
        <v>409</v>
      </c>
      <c r="D132" s="1" t="s">
        <v>2174</v>
      </c>
      <c r="E132" s="1" t="s">
        <v>145</v>
      </c>
      <c r="I132" s="1" t="s">
        <v>2260</v>
      </c>
      <c r="J132" s="2" t="s">
        <v>2595</v>
      </c>
      <c r="K132" s="2" t="s">
        <v>2596</v>
      </c>
      <c r="L132" s="1" t="s">
        <v>2482</v>
      </c>
      <c r="N132" s="1" t="s">
        <v>2129</v>
      </c>
      <c r="O132" s="5" t="s">
        <v>2322</v>
      </c>
      <c r="R132" s="1">
        <v>131</v>
      </c>
      <c r="S132" s="1">
        <f t="shared" si="4"/>
        <v>2</v>
      </c>
    </row>
    <row r="133" spans="1:19" ht="46.8">
      <c r="A133" s="29" t="s">
        <v>767</v>
      </c>
      <c r="B133" s="29" t="s">
        <v>2162</v>
      </c>
      <c r="C133" s="29" t="s">
        <v>409</v>
      </c>
      <c r="D133" s="29" t="s">
        <v>1969</v>
      </c>
      <c r="E133" s="29" t="s">
        <v>145</v>
      </c>
      <c r="F133" s="29" t="s">
        <v>1125</v>
      </c>
      <c r="G133" s="29"/>
      <c r="H133" s="29" t="s">
        <v>2664</v>
      </c>
      <c r="I133" s="29" t="s">
        <v>1814</v>
      </c>
      <c r="J133" s="29" t="s">
        <v>2572</v>
      </c>
      <c r="K133" s="29" t="s">
        <v>2548</v>
      </c>
      <c r="L133" s="31" t="s">
        <v>2481</v>
      </c>
      <c r="M133" s="29"/>
      <c r="N133" s="29" t="s">
        <v>1645</v>
      </c>
      <c r="O133" s="30" t="s">
        <v>2436</v>
      </c>
      <c r="P133" s="29"/>
      <c r="Q133" s="29"/>
      <c r="R133" s="29">
        <v>132</v>
      </c>
      <c r="S133" s="29">
        <f t="shared" si="4"/>
        <v>3</v>
      </c>
    </row>
    <row r="134" spans="1:19" ht="62.4">
      <c r="A134" s="1" t="s">
        <v>767</v>
      </c>
      <c r="B134" s="1" t="s">
        <v>293</v>
      </c>
      <c r="D134" s="1" t="s">
        <v>2622</v>
      </c>
      <c r="J134" s="2" t="s">
        <v>2522</v>
      </c>
      <c r="K134" s="1" t="s">
        <v>2597</v>
      </c>
      <c r="L134" s="1" t="s">
        <v>2575</v>
      </c>
      <c r="N134" s="1" t="s">
        <v>2201</v>
      </c>
      <c r="O134" s="5" t="s">
        <v>2437</v>
      </c>
      <c r="Q134" s="1" t="s">
        <v>2208</v>
      </c>
      <c r="R134" s="1">
        <v>133</v>
      </c>
      <c r="S134" s="1">
        <f t="shared" si="4"/>
        <v>1</v>
      </c>
    </row>
    <row r="135" spans="1:19" ht="31.2">
      <c r="A135" s="1" t="s">
        <v>767</v>
      </c>
      <c r="B135" s="1" t="s">
        <v>293</v>
      </c>
      <c r="D135" s="1" t="s">
        <v>2623</v>
      </c>
      <c r="J135" s="1" t="s">
        <v>287</v>
      </c>
      <c r="K135" s="1" t="s">
        <v>2553</v>
      </c>
      <c r="L135" s="1" t="s">
        <v>1904</v>
      </c>
      <c r="N135" s="1" t="s">
        <v>2203</v>
      </c>
      <c r="O135" s="5" t="s">
        <v>2438</v>
      </c>
      <c r="Q135" s="1" t="s">
        <v>2001</v>
      </c>
      <c r="R135" s="1">
        <v>134</v>
      </c>
      <c r="S135" s="1">
        <f t="shared" si="4"/>
        <v>1</v>
      </c>
    </row>
    <row r="136" spans="1:19">
      <c r="A136" s="1" t="s">
        <v>767</v>
      </c>
      <c r="B136" s="1" t="s">
        <v>293</v>
      </c>
      <c r="D136" s="1" t="s">
        <v>2624</v>
      </c>
      <c r="K136" s="1" t="s">
        <v>1919</v>
      </c>
      <c r="L136" s="1" t="s">
        <v>1917</v>
      </c>
      <c r="N136" s="1" t="s">
        <v>2205</v>
      </c>
      <c r="O136" s="5" t="s">
        <v>2439</v>
      </c>
      <c r="Q136" s="1" t="s">
        <v>2000</v>
      </c>
      <c r="R136" s="1">
        <v>135</v>
      </c>
      <c r="S136" s="1">
        <f t="shared" si="4"/>
        <v>1</v>
      </c>
    </row>
    <row r="137" spans="1:19" ht="31.2">
      <c r="A137" s="1" t="s">
        <v>767</v>
      </c>
      <c r="B137" s="1" t="s">
        <v>293</v>
      </c>
      <c r="D137" s="1" t="s">
        <v>340</v>
      </c>
      <c r="J137" s="1" t="s">
        <v>2587</v>
      </c>
      <c r="K137" s="1" t="s">
        <v>2552</v>
      </c>
      <c r="L137" s="1" t="s">
        <v>2474</v>
      </c>
      <c r="N137" s="1" t="s">
        <v>1096</v>
      </c>
      <c r="O137" s="5" t="s">
        <v>2440</v>
      </c>
      <c r="R137" s="1">
        <v>136</v>
      </c>
      <c r="S137" s="1">
        <f t="shared" si="4"/>
        <v>2</v>
      </c>
    </row>
    <row r="138" spans="1:19" ht="31.2">
      <c r="A138" s="1" t="s">
        <v>767</v>
      </c>
      <c r="B138" s="1" t="s">
        <v>293</v>
      </c>
      <c r="D138" s="1" t="s">
        <v>2625</v>
      </c>
      <c r="K138" s="1" t="s">
        <v>2553</v>
      </c>
      <c r="L138" s="1" t="s">
        <v>2474</v>
      </c>
      <c r="N138" s="1" t="s">
        <v>1117</v>
      </c>
      <c r="O138" s="5" t="s">
        <v>2441</v>
      </c>
      <c r="Q138" s="1" t="s">
        <v>1987</v>
      </c>
      <c r="R138" s="1">
        <v>137</v>
      </c>
      <c r="S138" s="1">
        <f t="shared" si="4"/>
        <v>1</v>
      </c>
    </row>
    <row r="139" spans="1:19" ht="31.2">
      <c r="A139" s="1" t="s">
        <v>767</v>
      </c>
      <c r="B139" s="1" t="s">
        <v>293</v>
      </c>
      <c r="D139" s="1" t="s">
        <v>2626</v>
      </c>
      <c r="J139" s="1" t="s">
        <v>2475</v>
      </c>
      <c r="L139" s="1" t="s">
        <v>1906</v>
      </c>
      <c r="N139" s="1" t="s">
        <v>2209</v>
      </c>
      <c r="O139" s="5" t="s">
        <v>2442</v>
      </c>
      <c r="R139" s="1">
        <v>138</v>
      </c>
      <c r="S139" s="1">
        <f t="shared" si="4"/>
        <v>2</v>
      </c>
    </row>
    <row r="140" spans="1:19" ht="31.2">
      <c r="A140" s="7" t="s">
        <v>668</v>
      </c>
      <c r="B140" s="7" t="s">
        <v>1696</v>
      </c>
      <c r="C140" s="7"/>
      <c r="D140" s="7" t="s">
        <v>2175</v>
      </c>
      <c r="E140" s="7"/>
      <c r="F140" s="7"/>
      <c r="G140" s="7"/>
      <c r="H140" s="7" t="s">
        <v>2643</v>
      </c>
      <c r="I140" s="7"/>
      <c r="J140" s="7"/>
      <c r="K140" s="7" t="s">
        <v>2559</v>
      </c>
      <c r="L140" s="7" t="s">
        <v>2480</v>
      </c>
      <c r="M140" s="7"/>
      <c r="N140" s="7" t="s">
        <v>1082</v>
      </c>
      <c r="O140" s="8" t="s">
        <v>2443</v>
      </c>
      <c r="P140" s="7"/>
      <c r="Q140" s="7"/>
      <c r="R140" s="7">
        <v>139</v>
      </c>
      <c r="S140" s="7">
        <f t="shared" si="4"/>
        <v>6</v>
      </c>
    </row>
    <row r="141" spans="1:19" s="11" customFormat="1" ht="31.2">
      <c r="A141" s="20" t="s">
        <v>668</v>
      </c>
      <c r="B141" s="20" t="s">
        <v>1696</v>
      </c>
      <c r="C141" s="20"/>
      <c r="D141" s="20" t="s">
        <v>1850</v>
      </c>
      <c r="E141" s="20"/>
      <c r="F141" s="20"/>
      <c r="G141" s="20" t="s">
        <v>2265</v>
      </c>
      <c r="H141" s="20"/>
      <c r="I141" s="20"/>
      <c r="J141" s="20"/>
      <c r="K141" s="20" t="s">
        <v>1918</v>
      </c>
      <c r="L141" s="20" t="s">
        <v>2479</v>
      </c>
      <c r="M141" s="20"/>
      <c r="N141" s="20" t="s">
        <v>1078</v>
      </c>
      <c r="O141" s="21" t="s">
        <v>2444</v>
      </c>
      <c r="P141" s="20"/>
      <c r="Q141" s="20"/>
      <c r="R141" s="20">
        <v>140</v>
      </c>
      <c r="S141" s="20">
        <f t="shared" si="4"/>
        <v>1</v>
      </c>
    </row>
    <row r="142" spans="1:19" s="29" customFormat="1" ht="31.2">
      <c r="A142" s="1" t="s">
        <v>668</v>
      </c>
      <c r="B142" s="1" t="s">
        <v>1696</v>
      </c>
      <c r="C142" s="1"/>
      <c r="D142" s="1" t="s">
        <v>2187</v>
      </c>
      <c r="E142" s="1"/>
      <c r="F142" s="1"/>
      <c r="G142" s="1"/>
      <c r="H142" s="1"/>
      <c r="I142" s="1"/>
      <c r="J142" s="1" t="s">
        <v>2475</v>
      </c>
      <c r="K142" s="1"/>
      <c r="L142" s="1" t="s">
        <v>2478</v>
      </c>
      <c r="M142" s="1"/>
      <c r="N142" s="1" t="s">
        <v>2213</v>
      </c>
      <c r="O142" s="5" t="s">
        <v>2445</v>
      </c>
      <c r="P142" s="1"/>
      <c r="Q142" s="1" t="s">
        <v>2080</v>
      </c>
      <c r="R142" s="1">
        <v>141</v>
      </c>
      <c r="S142" s="1">
        <f t="shared" si="4"/>
        <v>1</v>
      </c>
    </row>
    <row r="143" spans="1:19" ht="31.2">
      <c r="A143" s="1" t="s">
        <v>668</v>
      </c>
      <c r="B143" s="1" t="s">
        <v>1696</v>
      </c>
      <c r="D143" s="1" t="s">
        <v>1953</v>
      </c>
      <c r="J143" s="1" t="s">
        <v>2608</v>
      </c>
      <c r="K143" s="1" t="s">
        <v>1919</v>
      </c>
      <c r="L143" s="1" t="s">
        <v>2470</v>
      </c>
      <c r="N143" s="1" t="s">
        <v>1055</v>
      </c>
      <c r="O143" s="5" t="s">
        <v>2446</v>
      </c>
      <c r="R143" s="1">
        <v>142</v>
      </c>
      <c r="S143" s="1">
        <f t="shared" si="4"/>
        <v>9</v>
      </c>
    </row>
    <row r="144" spans="1:19" s="29" customFormat="1">
      <c r="A144" s="13" t="s">
        <v>668</v>
      </c>
      <c r="B144" s="13" t="s">
        <v>184</v>
      </c>
      <c r="C144" s="13" t="s">
        <v>2267</v>
      </c>
      <c r="D144" s="13" t="s">
        <v>2177</v>
      </c>
      <c r="E144" s="13"/>
      <c r="F144" s="13"/>
      <c r="G144" s="13"/>
      <c r="H144" s="13" t="s">
        <v>2652</v>
      </c>
      <c r="I144" s="13"/>
      <c r="J144" s="13" t="s">
        <v>287</v>
      </c>
      <c r="K144" s="13" t="s">
        <v>1932</v>
      </c>
      <c r="L144" s="13" t="s">
        <v>688</v>
      </c>
      <c r="M144" s="13"/>
      <c r="N144" s="13" t="s">
        <v>997</v>
      </c>
      <c r="O144" s="15" t="s">
        <v>2323</v>
      </c>
      <c r="P144" s="13"/>
      <c r="Q144" s="13"/>
      <c r="R144" s="13">
        <v>143</v>
      </c>
      <c r="S144" s="13">
        <f t="shared" si="4"/>
        <v>3</v>
      </c>
    </row>
    <row r="145" spans="1:19" s="11" customFormat="1" ht="31.2">
      <c r="A145" s="1" t="s">
        <v>668</v>
      </c>
      <c r="B145" s="1" t="s">
        <v>184</v>
      </c>
      <c r="C145" s="1" t="s">
        <v>2267</v>
      </c>
      <c r="D145" s="1" t="s">
        <v>2176</v>
      </c>
      <c r="E145" s="1"/>
      <c r="F145" s="1"/>
      <c r="G145" s="1"/>
      <c r="H145" s="1"/>
      <c r="I145" s="1"/>
      <c r="J145" s="2" t="s">
        <v>2522</v>
      </c>
      <c r="K145" s="2" t="s">
        <v>2552</v>
      </c>
      <c r="L145" s="1" t="s">
        <v>688</v>
      </c>
      <c r="M145" s="1"/>
      <c r="N145" s="1" t="s">
        <v>1029</v>
      </c>
      <c r="O145" s="6" t="s">
        <v>2324</v>
      </c>
      <c r="P145" s="1"/>
      <c r="Q145" s="1" t="s">
        <v>1981</v>
      </c>
      <c r="R145" s="1">
        <v>144</v>
      </c>
      <c r="S145" s="1">
        <f t="shared" si="4"/>
        <v>2</v>
      </c>
    </row>
    <row r="146" spans="1:19" s="29" customFormat="1">
      <c r="A146" s="7" t="s">
        <v>668</v>
      </c>
      <c r="B146" s="7" t="s">
        <v>184</v>
      </c>
      <c r="C146" s="7" t="s">
        <v>2267</v>
      </c>
      <c r="D146" s="7" t="s">
        <v>2188</v>
      </c>
      <c r="E146" s="7"/>
      <c r="F146" s="7"/>
      <c r="G146" s="7"/>
      <c r="H146" s="7" t="s">
        <v>2657</v>
      </c>
      <c r="I146" s="7"/>
      <c r="J146" s="7" t="s">
        <v>287</v>
      </c>
      <c r="K146" s="7"/>
      <c r="L146" s="7" t="s">
        <v>2473</v>
      </c>
      <c r="M146" s="7"/>
      <c r="N146" s="7" t="s">
        <v>1024</v>
      </c>
      <c r="O146" s="9" t="s">
        <v>2325</v>
      </c>
      <c r="P146" s="7"/>
      <c r="Q146" s="7"/>
      <c r="R146" s="7">
        <v>145</v>
      </c>
      <c r="S146" s="7">
        <f t="shared" si="4"/>
        <v>5</v>
      </c>
    </row>
    <row r="147" spans="1:19" s="29" customFormat="1" ht="31.2">
      <c r="A147" s="7" t="s">
        <v>668</v>
      </c>
      <c r="B147" s="7" t="s">
        <v>184</v>
      </c>
      <c r="C147" s="7" t="s">
        <v>2267</v>
      </c>
      <c r="D147" s="7" t="s">
        <v>2069</v>
      </c>
      <c r="E147" s="7"/>
      <c r="F147" s="7"/>
      <c r="G147" s="7"/>
      <c r="H147" s="7" t="s">
        <v>2645</v>
      </c>
      <c r="I147" s="7"/>
      <c r="J147" s="7" t="s">
        <v>2608</v>
      </c>
      <c r="K147" s="7"/>
      <c r="L147" s="7" t="s">
        <v>2477</v>
      </c>
      <c r="M147" s="7"/>
      <c r="N147" s="7" t="s">
        <v>1055</v>
      </c>
      <c r="O147" s="9" t="s">
        <v>2326</v>
      </c>
      <c r="P147" s="7"/>
      <c r="Q147" s="7"/>
      <c r="R147" s="7">
        <v>146</v>
      </c>
      <c r="S147" s="7">
        <f t="shared" si="4"/>
        <v>9</v>
      </c>
    </row>
    <row r="148" spans="1:19" s="29" customFormat="1">
      <c r="A148" s="1" t="s">
        <v>668</v>
      </c>
      <c r="B148" s="1" t="s">
        <v>184</v>
      </c>
      <c r="C148" s="1" t="s">
        <v>2266</v>
      </c>
      <c r="D148" s="1" t="s">
        <v>2176</v>
      </c>
      <c r="E148" s="1" t="s">
        <v>544</v>
      </c>
      <c r="F148" s="1" t="s">
        <v>2271</v>
      </c>
      <c r="G148" s="1"/>
      <c r="H148" s="1"/>
      <c r="I148" s="1"/>
      <c r="J148" s="1" t="s">
        <v>287</v>
      </c>
      <c r="K148" s="2" t="s">
        <v>2552</v>
      </c>
      <c r="L148" s="1" t="s">
        <v>2467</v>
      </c>
      <c r="M148" s="1"/>
      <c r="N148" s="1" t="s">
        <v>548</v>
      </c>
      <c r="O148" s="6" t="s">
        <v>2327</v>
      </c>
      <c r="P148" s="1"/>
      <c r="Q148" s="1" t="s">
        <v>2111</v>
      </c>
      <c r="R148" s="1">
        <v>147</v>
      </c>
      <c r="S148" s="1">
        <f t="shared" si="4"/>
        <v>1</v>
      </c>
    </row>
    <row r="149" spans="1:19" s="7" customFormat="1" ht="31.2">
      <c r="A149" s="22" t="s">
        <v>668</v>
      </c>
      <c r="B149" s="22" t="s">
        <v>184</v>
      </c>
      <c r="C149" s="22" t="s">
        <v>2266</v>
      </c>
      <c r="D149" s="22" t="s">
        <v>1767</v>
      </c>
      <c r="E149" s="22" t="s">
        <v>145</v>
      </c>
      <c r="F149" s="22" t="s">
        <v>2232</v>
      </c>
      <c r="G149" s="22"/>
      <c r="H149" s="22" t="s">
        <v>2662</v>
      </c>
      <c r="I149" s="22"/>
      <c r="J149" s="22" t="s">
        <v>2501</v>
      </c>
      <c r="K149" s="22" t="s">
        <v>2501</v>
      </c>
      <c r="L149" s="22" t="s">
        <v>2465</v>
      </c>
      <c r="M149" s="22"/>
      <c r="N149" s="22" t="s">
        <v>1642</v>
      </c>
      <c r="O149" s="23" t="s">
        <v>2328</v>
      </c>
      <c r="P149" s="22"/>
      <c r="Q149" s="22"/>
      <c r="R149" s="22">
        <v>148</v>
      </c>
      <c r="S149" s="22">
        <f t="shared" si="4"/>
        <v>4</v>
      </c>
    </row>
    <row r="150" spans="1:19" s="29" customFormat="1">
      <c r="A150" s="13" t="s">
        <v>668</v>
      </c>
      <c r="B150" s="13" t="s">
        <v>184</v>
      </c>
      <c r="C150" s="13" t="s">
        <v>2166</v>
      </c>
      <c r="D150" s="13" t="s">
        <v>2177</v>
      </c>
      <c r="E150" s="13" t="s">
        <v>1746</v>
      </c>
      <c r="F150" s="13"/>
      <c r="G150" s="13"/>
      <c r="H150" s="13" t="s">
        <v>2652</v>
      </c>
      <c r="I150" s="13"/>
      <c r="J150" s="14" t="s">
        <v>2573</v>
      </c>
      <c r="K150" s="14" t="s">
        <v>1915</v>
      </c>
      <c r="L150" s="13" t="s">
        <v>688</v>
      </c>
      <c r="M150" s="13"/>
      <c r="N150" s="13" t="s">
        <v>997</v>
      </c>
      <c r="O150" s="16" t="s">
        <v>2329</v>
      </c>
      <c r="P150" s="13"/>
      <c r="Q150" s="13"/>
      <c r="R150" s="13">
        <v>149</v>
      </c>
      <c r="S150" s="13">
        <f t="shared" si="4"/>
        <v>3</v>
      </c>
    </row>
    <row r="151" spans="1:19" ht="31.2">
      <c r="A151" s="13" t="s">
        <v>668</v>
      </c>
      <c r="B151" s="13" t="s">
        <v>184</v>
      </c>
      <c r="C151" s="13" t="s">
        <v>2166</v>
      </c>
      <c r="D151" s="13" t="s">
        <v>546</v>
      </c>
      <c r="E151" s="13" t="s">
        <v>1746</v>
      </c>
      <c r="F151" s="13" t="s">
        <v>2270</v>
      </c>
      <c r="G151" s="13"/>
      <c r="H151" s="13" t="s">
        <v>2653</v>
      </c>
      <c r="I151" s="13"/>
      <c r="J151" s="13" t="s">
        <v>2522</v>
      </c>
      <c r="K151" s="13" t="s">
        <v>1915</v>
      </c>
      <c r="L151" s="13" t="s">
        <v>2473</v>
      </c>
      <c r="M151" s="13"/>
      <c r="N151" s="13" t="s">
        <v>542</v>
      </c>
      <c r="O151" s="16" t="s">
        <v>2330</v>
      </c>
      <c r="P151" s="13"/>
      <c r="Q151" s="13" t="s">
        <v>1977</v>
      </c>
      <c r="R151" s="13">
        <v>150</v>
      </c>
      <c r="S151" s="13">
        <f t="shared" si="4"/>
        <v>2</v>
      </c>
    </row>
    <row r="152" spans="1:19" s="11" customFormat="1" ht="31.2">
      <c r="A152" s="22" t="s">
        <v>668</v>
      </c>
      <c r="B152" s="22" t="s">
        <v>184</v>
      </c>
      <c r="C152" s="22" t="s">
        <v>2166</v>
      </c>
      <c r="D152" s="22" t="s">
        <v>1767</v>
      </c>
      <c r="E152" s="22"/>
      <c r="F152" s="22"/>
      <c r="G152" s="22"/>
      <c r="H152" s="22" t="s">
        <v>2659</v>
      </c>
      <c r="I152" s="22"/>
      <c r="J152" s="22" t="s">
        <v>2501</v>
      </c>
      <c r="K152" s="22" t="s">
        <v>2501</v>
      </c>
      <c r="L152" s="22" t="s">
        <v>2465</v>
      </c>
      <c r="M152" s="22"/>
      <c r="N152" s="22" t="s">
        <v>1060</v>
      </c>
      <c r="O152" s="23" t="s">
        <v>2331</v>
      </c>
      <c r="P152" s="22"/>
      <c r="Q152" s="22" t="s">
        <v>1990</v>
      </c>
      <c r="R152" s="22">
        <v>151</v>
      </c>
      <c r="S152" s="22">
        <f t="shared" si="4"/>
        <v>1</v>
      </c>
    </row>
    <row r="153" spans="1:19" s="29" customFormat="1" ht="31.2">
      <c r="A153" s="1" t="s">
        <v>668</v>
      </c>
      <c r="B153" s="1" t="s">
        <v>184</v>
      </c>
      <c r="C153" s="1" t="s">
        <v>2167</v>
      </c>
      <c r="D153" s="1" t="s">
        <v>2178</v>
      </c>
      <c r="E153" s="1"/>
      <c r="F153" s="1" t="s">
        <v>982</v>
      </c>
      <c r="G153" s="1"/>
      <c r="H153" s="1"/>
      <c r="I153" s="1"/>
      <c r="J153" s="2" t="s">
        <v>2522</v>
      </c>
      <c r="K153" s="2" t="s">
        <v>2553</v>
      </c>
      <c r="L153" s="1" t="s">
        <v>2474</v>
      </c>
      <c r="M153" s="1"/>
      <c r="N153" s="1" t="s">
        <v>2272</v>
      </c>
      <c r="O153" s="6" t="s">
        <v>2332</v>
      </c>
      <c r="P153" s="1"/>
      <c r="Q153" s="1" t="s">
        <v>2226</v>
      </c>
      <c r="R153" s="1">
        <v>152</v>
      </c>
      <c r="S153" s="1">
        <f t="shared" si="4"/>
        <v>2</v>
      </c>
    </row>
    <row r="154" spans="1:19" s="29" customFormat="1">
      <c r="A154" s="7" t="s">
        <v>668</v>
      </c>
      <c r="B154" s="7" t="s">
        <v>184</v>
      </c>
      <c r="C154" s="7" t="s">
        <v>2167</v>
      </c>
      <c r="D154" s="7" t="s">
        <v>546</v>
      </c>
      <c r="E154" s="7"/>
      <c r="F154" s="7"/>
      <c r="G154" s="7"/>
      <c r="H154" s="7" t="s">
        <v>2657</v>
      </c>
      <c r="I154" s="7"/>
      <c r="J154" s="7" t="s">
        <v>2634</v>
      </c>
      <c r="K154" s="7"/>
      <c r="L154" s="7" t="s">
        <v>2473</v>
      </c>
      <c r="M154" s="7"/>
      <c r="N154" s="7" t="s">
        <v>1024</v>
      </c>
      <c r="O154" s="9" t="s">
        <v>2333</v>
      </c>
      <c r="P154" s="7"/>
      <c r="Q154" s="7"/>
      <c r="R154" s="7">
        <v>153</v>
      </c>
      <c r="S154" s="7">
        <f t="shared" si="4"/>
        <v>5</v>
      </c>
    </row>
    <row r="155" spans="1:19" ht="31.2">
      <c r="A155" s="7" t="s">
        <v>668</v>
      </c>
      <c r="B155" s="7" t="s">
        <v>184</v>
      </c>
      <c r="C155" s="7" t="s">
        <v>2167</v>
      </c>
      <c r="D155" s="7" t="s">
        <v>2189</v>
      </c>
      <c r="E155" s="7"/>
      <c r="F155" s="7"/>
      <c r="G155" s="7"/>
      <c r="H155" s="7" t="s">
        <v>2645</v>
      </c>
      <c r="I155" s="7"/>
      <c r="J155" s="7" t="s">
        <v>2608</v>
      </c>
      <c r="K155" s="7"/>
      <c r="L155" s="7" t="s">
        <v>1906</v>
      </c>
      <c r="M155" s="7"/>
      <c r="N155" s="7" t="s">
        <v>1055</v>
      </c>
      <c r="O155" s="9" t="s">
        <v>2334</v>
      </c>
      <c r="P155" s="7"/>
      <c r="Q155" s="7"/>
      <c r="R155" s="7">
        <v>154</v>
      </c>
      <c r="S155" s="7">
        <f t="shared" si="4"/>
        <v>9</v>
      </c>
    </row>
    <row r="156" spans="1:19" s="22" customFormat="1">
      <c r="A156" s="1" t="s">
        <v>668</v>
      </c>
      <c r="B156" s="1" t="s">
        <v>184</v>
      </c>
      <c r="C156" s="1" t="s">
        <v>2168</v>
      </c>
      <c r="D156" s="1" t="s">
        <v>2179</v>
      </c>
      <c r="E156" s="1" t="s">
        <v>2273</v>
      </c>
      <c r="F156" s="1" t="s">
        <v>2310</v>
      </c>
      <c r="G156" s="1"/>
      <c r="H156" s="1"/>
      <c r="I156" s="1"/>
      <c r="J156" s="1" t="s">
        <v>287</v>
      </c>
      <c r="K156" s="1" t="s">
        <v>2553</v>
      </c>
      <c r="L156" s="1" t="s">
        <v>1904</v>
      </c>
      <c r="M156" s="1"/>
      <c r="N156" s="1" t="s">
        <v>2275</v>
      </c>
      <c r="O156" s="6" t="s">
        <v>2335</v>
      </c>
      <c r="P156" s="1"/>
      <c r="Q156" s="1"/>
      <c r="R156" s="1">
        <v>155</v>
      </c>
      <c r="S156" s="1">
        <f t="shared" si="4"/>
        <v>1</v>
      </c>
    </row>
    <row r="157" spans="1:19" s="22" customFormat="1" ht="31.2">
      <c r="A157" s="1" t="s">
        <v>668</v>
      </c>
      <c r="B157" s="1" t="s">
        <v>184</v>
      </c>
      <c r="C157" s="1" t="s">
        <v>2168</v>
      </c>
      <c r="D157" s="1" t="s">
        <v>2030</v>
      </c>
      <c r="E157" s="1" t="s">
        <v>2274</v>
      </c>
      <c r="F157" s="1"/>
      <c r="G157" s="1"/>
      <c r="H157" s="1"/>
      <c r="I157" s="1"/>
      <c r="J157" s="1" t="s">
        <v>2475</v>
      </c>
      <c r="K157" s="1"/>
      <c r="L157" s="1" t="s">
        <v>2471</v>
      </c>
      <c r="M157" s="1"/>
      <c r="N157" s="1" t="s">
        <v>1098</v>
      </c>
      <c r="O157" s="6" t="s">
        <v>2336</v>
      </c>
      <c r="P157" s="1"/>
      <c r="Q157" s="1" t="s">
        <v>2125</v>
      </c>
      <c r="R157" s="1">
        <v>156</v>
      </c>
      <c r="S157" s="1">
        <f t="shared" si="4"/>
        <v>1</v>
      </c>
    </row>
    <row r="158" spans="1:19" s="22" customFormat="1">
      <c r="A158" s="7" t="s">
        <v>668</v>
      </c>
      <c r="B158" s="7" t="s">
        <v>184</v>
      </c>
      <c r="C158" s="7" t="s">
        <v>2168</v>
      </c>
      <c r="D158" s="7" t="s">
        <v>1718</v>
      </c>
      <c r="E158" s="7"/>
      <c r="F158" s="7"/>
      <c r="G158" s="7"/>
      <c r="H158" s="7" t="s">
        <v>2645</v>
      </c>
      <c r="I158" s="7"/>
      <c r="J158" s="7" t="s">
        <v>2475</v>
      </c>
      <c r="K158" s="7"/>
      <c r="L158" s="7" t="s">
        <v>2471</v>
      </c>
      <c r="M158" s="7"/>
      <c r="N158" s="7" t="s">
        <v>1055</v>
      </c>
      <c r="O158" s="9" t="s">
        <v>2337</v>
      </c>
      <c r="P158" s="7"/>
      <c r="Q158" s="7"/>
      <c r="R158" s="7">
        <v>157</v>
      </c>
      <c r="S158" s="7">
        <f t="shared" si="4"/>
        <v>9</v>
      </c>
    </row>
    <row r="159" spans="1:19" s="22" customFormat="1">
      <c r="A159" s="1" t="s">
        <v>668</v>
      </c>
      <c r="B159" s="1" t="s">
        <v>184</v>
      </c>
      <c r="C159" s="1" t="s">
        <v>2169</v>
      </c>
      <c r="D159" s="1" t="s">
        <v>2180</v>
      </c>
      <c r="E159" s="1"/>
      <c r="F159" s="1"/>
      <c r="G159" s="1"/>
      <c r="H159" s="1"/>
      <c r="I159" s="1"/>
      <c r="J159" s="1" t="s">
        <v>2476</v>
      </c>
      <c r="K159" s="1"/>
      <c r="L159" s="1" t="s">
        <v>2469</v>
      </c>
      <c r="M159" s="1"/>
      <c r="N159" s="1" t="s">
        <v>1096</v>
      </c>
      <c r="O159" s="6" t="s">
        <v>2338</v>
      </c>
      <c r="P159" s="1"/>
      <c r="Q159" s="1"/>
      <c r="R159" s="1">
        <v>158</v>
      </c>
      <c r="S159" s="1">
        <f t="shared" si="4"/>
        <v>2</v>
      </c>
    </row>
    <row r="160" spans="1:19" s="22" customFormat="1">
      <c r="A160" s="22" t="s">
        <v>668</v>
      </c>
      <c r="B160" s="22" t="s">
        <v>184</v>
      </c>
      <c r="C160" s="22" t="s">
        <v>2169</v>
      </c>
      <c r="D160" s="22" t="s">
        <v>1767</v>
      </c>
      <c r="H160" s="22" t="s">
        <v>2662</v>
      </c>
      <c r="J160" s="22" t="s">
        <v>2501</v>
      </c>
      <c r="K160" s="22" t="s">
        <v>2501</v>
      </c>
      <c r="L160" s="22" t="s">
        <v>2465</v>
      </c>
      <c r="N160" s="22" t="s">
        <v>2229</v>
      </c>
      <c r="O160" s="23" t="s">
        <v>2339</v>
      </c>
      <c r="Q160" s="22" t="s">
        <v>2241</v>
      </c>
      <c r="R160" s="22">
        <v>159</v>
      </c>
      <c r="S160" s="22">
        <f t="shared" si="4"/>
        <v>1</v>
      </c>
    </row>
    <row r="161" spans="1:19" s="22" customFormat="1" ht="31.2">
      <c r="A161" s="7" t="s">
        <v>668</v>
      </c>
      <c r="B161" s="7" t="s">
        <v>184</v>
      </c>
      <c r="C161" s="7" t="s">
        <v>2169</v>
      </c>
      <c r="D161" s="7" t="s">
        <v>2191</v>
      </c>
      <c r="E161" s="7"/>
      <c r="F161" s="7"/>
      <c r="G161" s="7"/>
      <c r="H161" s="7" t="s">
        <v>2645</v>
      </c>
      <c r="I161" s="7"/>
      <c r="J161" s="7" t="s">
        <v>2608</v>
      </c>
      <c r="K161" s="7"/>
      <c r="L161" s="7" t="s">
        <v>1906</v>
      </c>
      <c r="M161" s="7"/>
      <c r="N161" s="7" t="s">
        <v>1055</v>
      </c>
      <c r="O161" s="9" t="s">
        <v>2340</v>
      </c>
      <c r="P161" s="7"/>
      <c r="Q161" s="7"/>
      <c r="R161" s="7">
        <v>160</v>
      </c>
      <c r="S161" s="7">
        <f t="shared" si="4"/>
        <v>9</v>
      </c>
    </row>
    <row r="162" spans="1:19" s="22" customFormat="1">
      <c r="A162" s="1" t="s">
        <v>668</v>
      </c>
      <c r="B162" s="1" t="s">
        <v>184</v>
      </c>
      <c r="C162" s="1" t="s">
        <v>2169</v>
      </c>
      <c r="D162" s="1" t="s">
        <v>2181</v>
      </c>
      <c r="E162" s="1"/>
      <c r="F162" s="1"/>
      <c r="G162" s="1"/>
      <c r="H162" s="1"/>
      <c r="I162" s="1" t="s">
        <v>1814</v>
      </c>
      <c r="J162" s="1" t="s">
        <v>2475</v>
      </c>
      <c r="K162" s="1"/>
      <c r="L162" s="1" t="s">
        <v>2468</v>
      </c>
      <c r="M162" s="1"/>
      <c r="N162" s="1" t="s">
        <v>2209</v>
      </c>
      <c r="O162" s="6" t="s">
        <v>2341</v>
      </c>
      <c r="P162" s="1"/>
      <c r="Q162" s="1"/>
      <c r="R162" s="1">
        <v>161</v>
      </c>
      <c r="S162" s="1">
        <f t="shared" si="4"/>
        <v>2</v>
      </c>
    </row>
    <row r="163" spans="1:19" s="22" customFormat="1">
      <c r="A163" s="1" t="s">
        <v>19</v>
      </c>
      <c r="B163" s="1" t="s">
        <v>709</v>
      </c>
      <c r="C163" s="1" t="s">
        <v>2248</v>
      </c>
      <c r="D163" s="1" t="s">
        <v>862</v>
      </c>
      <c r="E163" s="1" t="s">
        <v>2277</v>
      </c>
      <c r="F163" s="1"/>
      <c r="G163" s="1"/>
      <c r="H163" s="1"/>
      <c r="I163" s="1"/>
      <c r="J163" s="2" t="s">
        <v>2603</v>
      </c>
      <c r="K163" s="2" t="s">
        <v>1915</v>
      </c>
      <c r="L163" s="1" t="s">
        <v>2467</v>
      </c>
      <c r="M163" s="1"/>
      <c r="N163" s="1" t="s">
        <v>2234</v>
      </c>
      <c r="O163" s="5" t="s">
        <v>2447</v>
      </c>
      <c r="P163" s="1"/>
      <c r="Q163" s="1" t="s">
        <v>2225</v>
      </c>
      <c r="R163" s="1">
        <v>162</v>
      </c>
      <c r="S163" s="1">
        <f t="shared" si="4"/>
        <v>1</v>
      </c>
    </row>
    <row r="164" spans="1:19" s="22" customFormat="1">
      <c r="A164" s="1" t="s">
        <v>19</v>
      </c>
      <c r="B164" s="1" t="s">
        <v>709</v>
      </c>
      <c r="C164" s="1" t="s">
        <v>266</v>
      </c>
      <c r="D164" s="1" t="s">
        <v>2619</v>
      </c>
      <c r="E164" s="1" t="s">
        <v>1567</v>
      </c>
      <c r="F164" s="1"/>
      <c r="G164" s="1"/>
      <c r="H164" s="1"/>
      <c r="I164" s="1"/>
      <c r="J164" s="1"/>
      <c r="K164" s="1" t="s">
        <v>2552</v>
      </c>
      <c r="L164" s="1" t="s">
        <v>2466</v>
      </c>
      <c r="M164" s="1"/>
      <c r="N164" s="1" t="s">
        <v>1029</v>
      </c>
      <c r="O164" s="5" t="s">
        <v>2448</v>
      </c>
      <c r="P164" s="1"/>
      <c r="Q164" s="1" t="s">
        <v>1982</v>
      </c>
      <c r="R164" s="1">
        <v>163</v>
      </c>
      <c r="S164" s="1">
        <f t="shared" si="4"/>
        <v>2</v>
      </c>
    </row>
    <row r="165" spans="1:19" s="25" customFormat="1" ht="31.2">
      <c r="A165" s="29" t="s">
        <v>19</v>
      </c>
      <c r="B165" s="29" t="s">
        <v>709</v>
      </c>
      <c r="C165" s="29" t="s">
        <v>2249</v>
      </c>
      <c r="D165" s="29" t="s">
        <v>2464</v>
      </c>
      <c r="E165" s="29" t="s">
        <v>140</v>
      </c>
      <c r="F165" s="29"/>
      <c r="G165" s="29"/>
      <c r="H165" s="29" t="s">
        <v>2663</v>
      </c>
      <c r="I165" s="29"/>
      <c r="J165" s="29" t="s">
        <v>2501</v>
      </c>
      <c r="K165" s="29"/>
      <c r="L165" s="29" t="s">
        <v>2465</v>
      </c>
      <c r="M165" s="29"/>
      <c r="N165" s="29" t="s">
        <v>1057</v>
      </c>
      <c r="O165" s="30" t="s">
        <v>2449</v>
      </c>
      <c r="P165" s="29"/>
      <c r="Q165" s="29"/>
      <c r="R165" s="29">
        <v>164</v>
      </c>
      <c r="S165" s="29">
        <f t="shared" si="4"/>
        <v>4</v>
      </c>
    </row>
    <row r="166" spans="1:19" s="25" customFormat="1" ht="31.2">
      <c r="A166" s="1" t="s">
        <v>19</v>
      </c>
      <c r="B166" s="1" t="s">
        <v>709</v>
      </c>
      <c r="C166" s="1" t="s">
        <v>2249</v>
      </c>
      <c r="D166" s="1" t="s">
        <v>2182</v>
      </c>
      <c r="E166" s="1" t="s">
        <v>140</v>
      </c>
      <c r="F166" s="1"/>
      <c r="G166" s="1"/>
      <c r="H166" s="1"/>
      <c r="I166" s="1"/>
      <c r="J166" s="1"/>
      <c r="K166" s="1" t="s">
        <v>2574</v>
      </c>
      <c r="L166" s="1" t="s">
        <v>2463</v>
      </c>
      <c r="M166" s="1"/>
      <c r="N166" s="1" t="s">
        <v>2238</v>
      </c>
      <c r="O166" s="5" t="s">
        <v>2450</v>
      </c>
      <c r="P166" s="1"/>
      <c r="Q166" s="1" t="s">
        <v>2132</v>
      </c>
      <c r="R166" s="1">
        <v>165</v>
      </c>
      <c r="S166" s="1">
        <f t="shared" si="4"/>
        <v>1</v>
      </c>
    </row>
    <row r="167" spans="1:19" s="25" customFormat="1" ht="31.2">
      <c r="A167" s="1" t="s">
        <v>19</v>
      </c>
      <c r="B167" s="1" t="s">
        <v>122</v>
      </c>
      <c r="C167" s="1" t="s">
        <v>133</v>
      </c>
      <c r="D167" s="1" t="s">
        <v>2183</v>
      </c>
      <c r="E167" s="1" t="s">
        <v>90</v>
      </c>
      <c r="F167" s="1"/>
      <c r="G167" s="1"/>
      <c r="H167" s="1"/>
      <c r="I167" s="1"/>
      <c r="J167" s="1"/>
      <c r="K167" s="1" t="s">
        <v>1919</v>
      </c>
      <c r="L167" s="1" t="s">
        <v>2462</v>
      </c>
      <c r="M167" s="1"/>
      <c r="N167" s="1" t="s">
        <v>2240</v>
      </c>
      <c r="O167" s="5" t="s">
        <v>2451</v>
      </c>
      <c r="P167" s="1"/>
      <c r="Q167" s="1" t="s">
        <v>2079</v>
      </c>
      <c r="R167" s="1">
        <v>166</v>
      </c>
      <c r="S167" s="1">
        <f t="shared" si="4"/>
        <v>1</v>
      </c>
    </row>
    <row r="168" spans="1:19" s="25" customFormat="1" ht="31.2">
      <c r="A168" s="1" t="s">
        <v>19</v>
      </c>
      <c r="B168" s="1" t="s">
        <v>122</v>
      </c>
      <c r="C168" s="1" t="s">
        <v>133</v>
      </c>
      <c r="D168" s="1" t="s">
        <v>2184</v>
      </c>
      <c r="E168" s="1" t="s">
        <v>133</v>
      </c>
      <c r="F168" s="1"/>
      <c r="G168" s="1"/>
      <c r="H168" s="1"/>
      <c r="I168" s="1"/>
      <c r="J168" s="2" t="s">
        <v>2514</v>
      </c>
      <c r="K168" s="2" t="s">
        <v>1919</v>
      </c>
      <c r="L168" s="1" t="s">
        <v>2461</v>
      </c>
      <c r="M168" s="1"/>
      <c r="N168" s="1" t="s">
        <v>2242</v>
      </c>
      <c r="O168" s="5" t="s">
        <v>2452</v>
      </c>
      <c r="P168" s="1"/>
      <c r="Q168" s="1" t="s">
        <v>2220</v>
      </c>
      <c r="R168" s="1">
        <v>167</v>
      </c>
      <c r="S168" s="1">
        <f t="shared" si="4"/>
        <v>1</v>
      </c>
    </row>
    <row r="169" spans="1:19" s="7" customFormat="1" ht="31.2">
      <c r="A169" s="1" t="s">
        <v>19</v>
      </c>
      <c r="B169" s="1" t="s">
        <v>122</v>
      </c>
      <c r="C169" s="1" t="s">
        <v>133</v>
      </c>
      <c r="D169" s="1" t="s">
        <v>2185</v>
      </c>
      <c r="E169" s="1" t="s">
        <v>189</v>
      </c>
      <c r="F169" s="1"/>
      <c r="G169" s="1"/>
      <c r="H169" s="1"/>
      <c r="I169" s="1"/>
      <c r="J169" s="2" t="s">
        <v>2608</v>
      </c>
      <c r="K169" s="2" t="s">
        <v>1918</v>
      </c>
      <c r="L169" s="1" t="s">
        <v>2460</v>
      </c>
      <c r="M169" s="1"/>
      <c r="N169" s="1" t="s">
        <v>2244</v>
      </c>
      <c r="O169" s="5" t="s">
        <v>2453</v>
      </c>
      <c r="P169" s="1"/>
      <c r="Q169" s="1" t="s">
        <v>2230</v>
      </c>
      <c r="R169" s="1">
        <v>168</v>
      </c>
      <c r="S169" s="1">
        <f t="shared" si="4"/>
        <v>1</v>
      </c>
    </row>
    <row r="170" spans="1:19" s="7" customFormat="1" ht="46.8">
      <c r="A170" s="1" t="s">
        <v>19</v>
      </c>
      <c r="B170" s="1" t="s">
        <v>122</v>
      </c>
      <c r="C170" s="1" t="s">
        <v>134</v>
      </c>
      <c r="D170" s="1" t="s">
        <v>2186</v>
      </c>
      <c r="E170" s="1" t="s">
        <v>35</v>
      </c>
      <c r="F170" s="1" t="s">
        <v>2308</v>
      </c>
      <c r="G170" s="1"/>
      <c r="H170" s="1"/>
      <c r="I170" s="1"/>
      <c r="J170" s="2" t="s">
        <v>2522</v>
      </c>
      <c r="K170" s="2" t="s">
        <v>2601</v>
      </c>
      <c r="L170" s="1" t="s">
        <v>2459</v>
      </c>
      <c r="M170" s="1"/>
      <c r="N170" s="1" t="s">
        <v>2281</v>
      </c>
      <c r="O170" s="5" t="s">
        <v>2454</v>
      </c>
      <c r="P170" s="1"/>
      <c r="Q170" s="1" t="s">
        <v>1989</v>
      </c>
      <c r="R170" s="1">
        <v>169</v>
      </c>
      <c r="S170" s="1">
        <f t="shared" si="4"/>
        <v>1</v>
      </c>
    </row>
    <row r="171" spans="1:19" s="7" customFormat="1" ht="46.8">
      <c r="A171" s="1" t="s">
        <v>19</v>
      </c>
      <c r="B171" s="1" t="s">
        <v>122</v>
      </c>
      <c r="C171" s="1"/>
      <c r="D171" s="1" t="s">
        <v>2284</v>
      </c>
      <c r="E171" s="1" t="s">
        <v>2282</v>
      </c>
      <c r="F171" s="1" t="s">
        <v>2313</v>
      </c>
      <c r="G171" s="1"/>
      <c r="H171" s="1"/>
      <c r="I171" s="1"/>
      <c r="J171" s="2" t="s">
        <v>2585</v>
      </c>
      <c r="K171" s="2" t="s">
        <v>1918</v>
      </c>
      <c r="L171" s="1" t="s">
        <v>2458</v>
      </c>
      <c r="M171" s="1"/>
      <c r="N171" s="1" t="s">
        <v>2283</v>
      </c>
      <c r="O171" s="5" t="s">
        <v>2455</v>
      </c>
      <c r="P171" s="1"/>
      <c r="Q171" s="1" t="s">
        <v>2211</v>
      </c>
      <c r="R171" s="1">
        <v>170</v>
      </c>
      <c r="S171" s="1">
        <f t="shared" si="4"/>
        <v>1</v>
      </c>
    </row>
    <row r="172" spans="1:19" s="7" customFormat="1" ht="31.2">
      <c r="A172" s="1" t="s">
        <v>19</v>
      </c>
      <c r="B172" s="1" t="s">
        <v>122</v>
      </c>
      <c r="C172" s="1"/>
      <c r="D172" s="1" t="s">
        <v>2078</v>
      </c>
      <c r="E172" s="1" t="s">
        <v>2282</v>
      </c>
      <c r="F172" s="1"/>
      <c r="G172" s="1"/>
      <c r="H172" s="1"/>
      <c r="I172" s="1"/>
      <c r="J172" s="2" t="s">
        <v>2598</v>
      </c>
      <c r="K172" s="2" t="s">
        <v>2599</v>
      </c>
      <c r="L172" s="1" t="s">
        <v>2457</v>
      </c>
      <c r="M172" s="1"/>
      <c r="N172" s="1" t="s">
        <v>1129</v>
      </c>
      <c r="O172" s="5" t="s">
        <v>2456</v>
      </c>
      <c r="P172" s="1"/>
      <c r="Q172" s="1" t="s">
        <v>2015</v>
      </c>
      <c r="R172" s="1">
        <v>171</v>
      </c>
      <c r="S172" s="1">
        <f t="shared" si="4"/>
        <v>1</v>
      </c>
    </row>
  </sheetData>
  <sortState xmlns:xlrd2="http://schemas.microsoft.com/office/spreadsheetml/2017/richdata2" ref="A2:S172">
    <sortCondition ref="R2:R172"/>
    <sortCondition sortBy="cellColor" ref="A2:A172" dxfId="18"/>
    <sortCondition ref="H2:H172"/>
    <sortCondition ref="N2:N172"/>
    <sortCondition ref="D2:D172"/>
    <sortCondition ref="A2:A172"/>
    <sortCondition ref="L2:L172"/>
  </sortState>
  <phoneticPr fontId="1" type="noConversion"/>
  <conditionalFormatting sqref="F1:F1048576 N1:N1048576">
    <cfRule type="duplicateValues" dxfId="16" priority="1"/>
  </conditionalFormatting>
  <pageMargins left="0.7" right="0.7" top="0.75" bottom="0.75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7E3F3-D294-459D-B740-9175F22E3FA5}">
  <dimension ref="A2:C5"/>
  <sheetViews>
    <sheetView tabSelected="1" workbookViewId="0">
      <selection activeCell="D8" sqref="D8"/>
    </sheetView>
  </sheetViews>
  <sheetFormatPr defaultRowHeight="17.399999999999999"/>
  <cols>
    <col min="1" max="16384" width="8.6640625" style="34"/>
  </cols>
  <sheetData>
    <row r="2" spans="1:3">
      <c r="A2" s="33" t="s">
        <v>2665</v>
      </c>
      <c r="B2" s="34" t="s">
        <v>2667</v>
      </c>
      <c r="C2" s="34" t="s">
        <v>2670</v>
      </c>
    </row>
    <row r="3" spans="1:3">
      <c r="A3" s="33" t="s">
        <v>2666</v>
      </c>
      <c r="B3" s="32" t="s">
        <v>2668</v>
      </c>
      <c r="C3" s="34" t="s">
        <v>2673</v>
      </c>
    </row>
    <row r="4" spans="1:3">
      <c r="A4" s="33" t="s">
        <v>1766</v>
      </c>
      <c r="B4" s="34" t="s">
        <v>2669</v>
      </c>
      <c r="C4" s="34" t="s">
        <v>2671</v>
      </c>
    </row>
    <row r="5" spans="1:3">
      <c r="A5" s="33" t="s">
        <v>2057</v>
      </c>
      <c r="C5" s="34" t="s">
        <v>2672</v>
      </c>
    </row>
  </sheetData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4F7F5-97E8-4D45-8162-E3186C4160B9}">
  <sheetPr codeName="Sheet1"/>
  <dimension ref="A1:L389"/>
  <sheetViews>
    <sheetView zoomScale="120" zoomScaleNormal="120" workbookViewId="0">
      <pane ySplit="1" topLeftCell="A243" activePane="bottomLeft" state="frozen"/>
      <selection activeCell="B1" sqref="B1"/>
      <selection pane="bottomLeft" activeCell="D10" sqref="D10"/>
    </sheetView>
  </sheetViews>
  <sheetFormatPr defaultColWidth="8.75" defaultRowHeight="17.399999999999999"/>
  <cols>
    <col min="1" max="1" width="12" style="1" bestFit="1" customWidth="1"/>
    <col min="2" max="2" width="8.75" style="1"/>
    <col min="3" max="3" width="3.58203125" style="1" customWidth="1"/>
    <col min="4" max="5" width="8.75" style="1"/>
    <col min="6" max="6" width="11.83203125" style="1" bestFit="1" customWidth="1"/>
    <col min="7" max="7" width="10" style="1" customWidth="1"/>
    <col min="8" max="8" width="8.75" style="1"/>
    <col min="9" max="9" width="22.4140625" style="1" customWidth="1"/>
    <col min="10" max="10" width="29.4140625" style="1" bestFit="1" customWidth="1"/>
    <col min="11" max="11" width="8.75" style="1"/>
    <col min="13" max="16384" width="8.75" style="1"/>
  </cols>
  <sheetData>
    <row r="1" spans="1:11">
      <c r="B1" s="1" t="s">
        <v>16</v>
      </c>
      <c r="D1" s="1" t="s">
        <v>0</v>
      </c>
      <c r="E1" s="1" t="s">
        <v>17</v>
      </c>
      <c r="F1" s="1" t="s">
        <v>141</v>
      </c>
      <c r="G1" s="1" t="s">
        <v>18</v>
      </c>
      <c r="H1" s="1" t="s">
        <v>23</v>
      </c>
      <c r="I1" s="1" t="s">
        <v>142</v>
      </c>
      <c r="J1" s="1" t="s">
        <v>19</v>
      </c>
      <c r="K1" s="1" t="s">
        <v>296</v>
      </c>
    </row>
    <row r="2" spans="1:11">
      <c r="A2" s="1" t="s">
        <v>417</v>
      </c>
      <c r="D2" s="1" t="s">
        <v>691</v>
      </c>
      <c r="G2" s="1" t="s">
        <v>127</v>
      </c>
    </row>
    <row r="3" spans="1:11">
      <c r="A3" s="1" t="s">
        <v>417</v>
      </c>
      <c r="D3" s="1" t="s">
        <v>692</v>
      </c>
      <c r="G3" s="1" t="s">
        <v>693</v>
      </c>
    </row>
    <row r="4" spans="1:11">
      <c r="A4" s="1" t="s">
        <v>417</v>
      </c>
      <c r="D4" s="1" t="s">
        <v>694</v>
      </c>
      <c r="G4" s="1" t="s">
        <v>696</v>
      </c>
    </row>
    <row r="5" spans="1:11">
      <c r="A5" s="1" t="s">
        <v>417</v>
      </c>
      <c r="D5" s="1" t="s">
        <v>695</v>
      </c>
      <c r="G5" s="1" t="s">
        <v>697</v>
      </c>
    </row>
    <row r="7" spans="1:11">
      <c r="A7" s="1" t="s">
        <v>302</v>
      </c>
      <c r="D7" s="1" t="s">
        <v>303</v>
      </c>
      <c r="G7" s="1" t="s">
        <v>308</v>
      </c>
      <c r="J7" s="1" t="s">
        <v>222</v>
      </c>
    </row>
    <row r="8" spans="1:11">
      <c r="A8" s="1" t="s">
        <v>302</v>
      </c>
      <c r="D8" s="1" t="s">
        <v>304</v>
      </c>
      <c r="J8" s="1" t="s">
        <v>310</v>
      </c>
    </row>
    <row r="9" spans="1:11">
      <c r="A9" s="1" t="s">
        <v>302</v>
      </c>
      <c r="D9" s="1" t="s">
        <v>307</v>
      </c>
      <c r="J9" s="1" t="s">
        <v>311</v>
      </c>
    </row>
    <row r="10" spans="1:11">
      <c r="A10" s="1" t="s">
        <v>302</v>
      </c>
      <c r="D10" s="1" t="s">
        <v>305</v>
      </c>
      <c r="J10" s="1" t="s">
        <v>309</v>
      </c>
    </row>
    <row r="11" spans="1:11">
      <c r="A11" s="1" t="s">
        <v>302</v>
      </c>
      <c r="D11" s="1" t="s">
        <v>306</v>
      </c>
    </row>
    <row r="13" spans="1:11">
      <c r="A13" s="1" t="s">
        <v>280</v>
      </c>
      <c r="D13" s="1" t="s">
        <v>281</v>
      </c>
      <c r="G13" s="1" t="s">
        <v>160</v>
      </c>
      <c r="J13" s="1" t="s">
        <v>298</v>
      </c>
    </row>
    <row r="14" spans="1:11">
      <c r="A14" s="1" t="s">
        <v>280</v>
      </c>
      <c r="D14" s="1" t="s">
        <v>282</v>
      </c>
    </row>
    <row r="15" spans="1:11">
      <c r="A15" s="1" t="s">
        <v>280</v>
      </c>
      <c r="D15" s="1" t="s">
        <v>283</v>
      </c>
      <c r="G15" s="1" t="s">
        <v>183</v>
      </c>
      <c r="J15" s="1" t="s">
        <v>299</v>
      </c>
    </row>
    <row r="16" spans="1:11">
      <c r="A16" s="1" t="s">
        <v>280</v>
      </c>
      <c r="D16" s="1" t="s">
        <v>284</v>
      </c>
      <c r="G16" s="1" t="s">
        <v>300</v>
      </c>
    </row>
    <row r="17" spans="1:10">
      <c r="A17" s="1" t="s">
        <v>280</v>
      </c>
      <c r="D17" s="1" t="s">
        <v>285</v>
      </c>
    </row>
    <row r="18" spans="1:10">
      <c r="A18" s="1" t="s">
        <v>280</v>
      </c>
      <c r="D18" s="1" t="s">
        <v>286</v>
      </c>
      <c r="G18" s="1" t="s">
        <v>301</v>
      </c>
    </row>
    <row r="20" spans="1:10">
      <c r="A20" s="1" t="s">
        <v>72</v>
      </c>
      <c r="D20" s="1" t="s">
        <v>73</v>
      </c>
      <c r="E20" s="1" t="s">
        <v>80</v>
      </c>
      <c r="G20" s="1" t="s">
        <v>84</v>
      </c>
    </row>
    <row r="21" spans="1:10">
      <c r="A21" s="1" t="s">
        <v>72</v>
      </c>
      <c r="D21" s="1" t="s">
        <v>74</v>
      </c>
      <c r="E21" s="1" t="s">
        <v>80</v>
      </c>
      <c r="G21" s="1" t="s">
        <v>289</v>
      </c>
    </row>
    <row r="22" spans="1:10">
      <c r="A22" s="1" t="s">
        <v>72</v>
      </c>
      <c r="D22" s="1" t="s">
        <v>75</v>
      </c>
      <c r="E22" s="1" t="s">
        <v>81</v>
      </c>
      <c r="G22" s="1" t="s">
        <v>90</v>
      </c>
      <c r="J22" s="1" t="s">
        <v>87</v>
      </c>
    </row>
    <row r="23" spans="1:10" ht="69.599999999999994">
      <c r="A23" s="1" t="s">
        <v>72</v>
      </c>
      <c r="D23" s="1" t="s">
        <v>76</v>
      </c>
      <c r="E23" s="1" t="s">
        <v>81</v>
      </c>
      <c r="G23" s="1" t="s">
        <v>88</v>
      </c>
      <c r="I23" s="2" t="s">
        <v>290</v>
      </c>
      <c r="J23" s="1" t="s">
        <v>89</v>
      </c>
    </row>
    <row r="24" spans="1:10">
      <c r="A24" s="1" t="s">
        <v>72</v>
      </c>
      <c r="D24" s="1" t="s">
        <v>77</v>
      </c>
      <c r="E24" s="1" t="s">
        <v>82</v>
      </c>
      <c r="F24" s="1" t="s">
        <v>291</v>
      </c>
      <c r="G24" s="1" t="s">
        <v>83</v>
      </c>
    </row>
    <row r="25" spans="1:10">
      <c r="A25" s="1" t="s">
        <v>72</v>
      </c>
      <c r="D25" s="1" t="s">
        <v>78</v>
      </c>
      <c r="E25" s="1" t="s">
        <v>82</v>
      </c>
      <c r="F25" s="1" t="s">
        <v>86</v>
      </c>
      <c r="G25" s="1" t="s">
        <v>84</v>
      </c>
    </row>
    <row r="26" spans="1:10">
      <c r="A26" s="1" t="s">
        <v>72</v>
      </c>
      <c r="D26" s="1" t="s">
        <v>79</v>
      </c>
      <c r="E26" s="1" t="s">
        <v>82</v>
      </c>
      <c r="G26" s="1" t="s">
        <v>85</v>
      </c>
      <c r="J26" s="1" t="s">
        <v>40</v>
      </c>
    </row>
    <row r="28" spans="1:10">
      <c r="A28" s="1" t="s">
        <v>223</v>
      </c>
      <c r="C28" s="1">
        <v>3</v>
      </c>
      <c r="D28" s="1" t="s">
        <v>226</v>
      </c>
      <c r="E28" s="1">
        <v>1</v>
      </c>
      <c r="F28" s="1" t="s">
        <v>232</v>
      </c>
      <c r="G28" s="1" t="s">
        <v>237</v>
      </c>
      <c r="J28" s="1" t="s">
        <v>238</v>
      </c>
    </row>
    <row r="29" spans="1:10">
      <c r="A29" s="1" t="s">
        <v>223</v>
      </c>
      <c r="C29" s="1">
        <v>3</v>
      </c>
      <c r="D29" s="1" t="s">
        <v>225</v>
      </c>
      <c r="E29" s="1">
        <v>2</v>
      </c>
      <c r="F29" s="1" t="s">
        <v>233</v>
      </c>
      <c r="G29" s="1" t="s">
        <v>236</v>
      </c>
    </row>
    <row r="30" spans="1:10">
      <c r="A30" s="1" t="s">
        <v>223</v>
      </c>
      <c r="C30" s="1">
        <v>3</v>
      </c>
      <c r="D30" s="1" t="s">
        <v>224</v>
      </c>
      <c r="E30" s="1">
        <v>3</v>
      </c>
      <c r="F30" s="1" t="s">
        <v>234</v>
      </c>
      <c r="G30" s="1" t="s">
        <v>235</v>
      </c>
    </row>
    <row r="31" spans="1:10">
      <c r="A31" s="1" t="s">
        <v>223</v>
      </c>
      <c r="C31" s="1">
        <v>2</v>
      </c>
      <c r="D31" s="1" t="s">
        <v>227</v>
      </c>
      <c r="E31" s="1" t="s">
        <v>241</v>
      </c>
      <c r="H31" s="1" t="s">
        <v>244</v>
      </c>
    </row>
    <row r="32" spans="1:10">
      <c r="A32" s="1" t="s">
        <v>223</v>
      </c>
      <c r="C32" s="1">
        <v>2</v>
      </c>
      <c r="D32" s="1" t="s">
        <v>228</v>
      </c>
      <c r="E32" s="1" t="s">
        <v>241</v>
      </c>
      <c r="F32" s="1" t="s">
        <v>242</v>
      </c>
    </row>
    <row r="33" spans="1:10">
      <c r="A33" s="1" t="s">
        <v>223</v>
      </c>
      <c r="C33" s="1">
        <v>2</v>
      </c>
      <c r="D33" s="1" t="s">
        <v>230</v>
      </c>
      <c r="E33" s="1" t="s">
        <v>245</v>
      </c>
      <c r="J33" s="1" t="s">
        <v>240</v>
      </c>
    </row>
    <row r="34" spans="1:10">
      <c r="A34" s="1" t="s">
        <v>223</v>
      </c>
      <c r="C34" s="1">
        <v>2</v>
      </c>
      <c r="D34" s="1" t="s">
        <v>231</v>
      </c>
      <c r="E34" s="1" t="s">
        <v>245</v>
      </c>
      <c r="J34" s="1" t="s">
        <v>243</v>
      </c>
    </row>
    <row r="35" spans="1:10">
      <c r="A35" s="1" t="s">
        <v>223</v>
      </c>
      <c r="C35" s="1">
        <v>1</v>
      </c>
      <c r="D35" s="1" t="s">
        <v>229</v>
      </c>
      <c r="E35" s="1" t="s">
        <v>246</v>
      </c>
      <c r="G35" s="1" t="s">
        <v>239</v>
      </c>
    </row>
    <row r="38" spans="1:10">
      <c r="A38" s="1" t="s">
        <v>143</v>
      </c>
      <c r="B38" s="1" t="s">
        <v>145</v>
      </c>
      <c r="C38" s="1">
        <v>5</v>
      </c>
      <c r="D38" s="1" t="s">
        <v>149</v>
      </c>
      <c r="F38" s="1" t="s">
        <v>700</v>
      </c>
      <c r="G38" s="1" t="s">
        <v>703</v>
      </c>
    </row>
    <row r="39" spans="1:10">
      <c r="A39" s="1" t="s">
        <v>143</v>
      </c>
      <c r="B39" s="1" t="s">
        <v>145</v>
      </c>
      <c r="C39" s="1">
        <v>5</v>
      </c>
      <c r="D39" s="1" t="s">
        <v>150</v>
      </c>
      <c r="F39" s="1" t="s">
        <v>701</v>
      </c>
    </row>
    <row r="40" spans="1:10">
      <c r="A40" s="1" t="s">
        <v>143</v>
      </c>
      <c r="B40" s="1" t="s">
        <v>145</v>
      </c>
      <c r="C40" s="1">
        <v>5</v>
      </c>
      <c r="D40" s="1" t="s">
        <v>151</v>
      </c>
    </row>
    <row r="41" spans="1:10">
      <c r="A41" s="1" t="s">
        <v>143</v>
      </c>
      <c r="B41" s="1" t="s">
        <v>145</v>
      </c>
      <c r="C41" s="1">
        <v>5</v>
      </c>
      <c r="D41" s="1" t="s">
        <v>152</v>
      </c>
    </row>
    <row r="42" spans="1:10">
      <c r="A42" s="1" t="s">
        <v>143</v>
      </c>
      <c r="B42" s="1" t="s">
        <v>145</v>
      </c>
      <c r="C42" s="1">
        <v>5</v>
      </c>
      <c r="D42" s="1" t="s">
        <v>153</v>
      </c>
      <c r="F42" s="1" t="s">
        <v>702</v>
      </c>
    </row>
    <row r="43" spans="1:10">
      <c r="A43" s="1" t="s">
        <v>143</v>
      </c>
      <c r="B43" s="1" t="s">
        <v>147</v>
      </c>
      <c r="C43" s="1">
        <v>6</v>
      </c>
      <c r="D43" s="1" t="s">
        <v>154</v>
      </c>
      <c r="E43" s="1" t="s">
        <v>162</v>
      </c>
      <c r="F43" s="1" t="s">
        <v>170</v>
      </c>
    </row>
    <row r="44" spans="1:10">
      <c r="A44" s="1" t="s">
        <v>143</v>
      </c>
      <c r="B44" s="1" t="s">
        <v>147</v>
      </c>
      <c r="C44" s="1">
        <v>6</v>
      </c>
      <c r="D44" s="1" t="s">
        <v>155</v>
      </c>
      <c r="E44" s="1" t="s">
        <v>162</v>
      </c>
    </row>
    <row r="45" spans="1:10">
      <c r="A45" s="1" t="s">
        <v>143</v>
      </c>
      <c r="B45" s="1" t="s">
        <v>147</v>
      </c>
      <c r="C45" s="1">
        <v>6</v>
      </c>
      <c r="D45" s="1" t="s">
        <v>156</v>
      </c>
      <c r="E45" s="1" t="s">
        <v>160</v>
      </c>
      <c r="F45" s="1" t="s">
        <v>287</v>
      </c>
    </row>
    <row r="46" spans="1:10">
      <c r="A46" s="1" t="s">
        <v>143</v>
      </c>
      <c r="B46" s="1" t="s">
        <v>147</v>
      </c>
      <c r="C46" s="1">
        <v>6</v>
      </c>
      <c r="D46" s="1" t="s">
        <v>157</v>
      </c>
      <c r="E46" s="1" t="s">
        <v>160</v>
      </c>
    </row>
    <row r="47" spans="1:10">
      <c r="A47" s="1" t="s">
        <v>143</v>
      </c>
      <c r="B47" s="1" t="s">
        <v>147</v>
      </c>
      <c r="C47" s="1">
        <v>6</v>
      </c>
      <c r="D47" s="1" t="s">
        <v>158</v>
      </c>
      <c r="E47" s="1" t="s">
        <v>161</v>
      </c>
      <c r="F47" s="1" t="s">
        <v>288</v>
      </c>
      <c r="G47" s="1" t="s">
        <v>710</v>
      </c>
    </row>
    <row r="48" spans="1:10">
      <c r="A48" s="1" t="s">
        <v>143</v>
      </c>
      <c r="B48" s="1" t="s">
        <v>147</v>
      </c>
      <c r="C48" s="1">
        <v>6</v>
      </c>
      <c r="D48" s="1" t="s">
        <v>159</v>
      </c>
      <c r="E48" s="1" t="s">
        <v>161</v>
      </c>
    </row>
    <row r="49" spans="1:7">
      <c r="A49" s="1" t="s">
        <v>143</v>
      </c>
      <c r="B49" s="1" t="s">
        <v>81</v>
      </c>
      <c r="C49" s="1">
        <v>7</v>
      </c>
      <c r="D49" s="1" t="s">
        <v>163</v>
      </c>
      <c r="E49" s="1" t="s">
        <v>170</v>
      </c>
      <c r="G49" s="1" t="s">
        <v>708</v>
      </c>
    </row>
    <row r="50" spans="1:7">
      <c r="A50" s="1" t="s">
        <v>143</v>
      </c>
      <c r="B50" s="1" t="s">
        <v>81</v>
      </c>
      <c r="C50" s="1">
        <v>7</v>
      </c>
      <c r="D50" s="1" t="s">
        <v>164</v>
      </c>
      <c r="E50" s="1" t="s">
        <v>170</v>
      </c>
      <c r="G50" s="1" t="s">
        <v>709</v>
      </c>
    </row>
    <row r="51" spans="1:7">
      <c r="A51" s="1" t="s">
        <v>143</v>
      </c>
      <c r="B51" s="1" t="s">
        <v>81</v>
      </c>
      <c r="C51" s="1">
        <v>7</v>
      </c>
      <c r="D51" s="1" t="s">
        <v>165</v>
      </c>
      <c r="E51" s="1" t="s">
        <v>170</v>
      </c>
    </row>
    <row r="52" spans="1:7">
      <c r="A52" s="1" t="s">
        <v>143</v>
      </c>
      <c r="B52" s="1" t="s">
        <v>81</v>
      </c>
      <c r="C52" s="1">
        <v>7</v>
      </c>
      <c r="D52" s="1" t="s">
        <v>166</v>
      </c>
      <c r="E52" s="1" t="s">
        <v>103</v>
      </c>
      <c r="G52" s="1" t="s">
        <v>707</v>
      </c>
    </row>
    <row r="53" spans="1:7">
      <c r="A53" s="1" t="s">
        <v>143</v>
      </c>
      <c r="B53" s="1" t="s">
        <v>81</v>
      </c>
      <c r="C53" s="1">
        <v>7</v>
      </c>
      <c r="D53" s="1" t="s">
        <v>167</v>
      </c>
      <c r="E53" s="1" t="s">
        <v>103</v>
      </c>
      <c r="G53" s="1" t="s">
        <v>90</v>
      </c>
    </row>
    <row r="54" spans="1:7">
      <c r="A54" s="1" t="s">
        <v>143</v>
      </c>
      <c r="B54" s="1" t="s">
        <v>81</v>
      </c>
      <c r="C54" s="1">
        <v>7</v>
      </c>
      <c r="D54" s="1" t="s">
        <v>168</v>
      </c>
    </row>
    <row r="55" spans="1:7">
      <c r="A55" s="1" t="s">
        <v>143</v>
      </c>
      <c r="B55" s="1" t="s">
        <v>81</v>
      </c>
      <c r="C55" s="1">
        <v>7</v>
      </c>
      <c r="D55" s="1" t="s">
        <v>169</v>
      </c>
      <c r="E55" s="1" t="s">
        <v>21</v>
      </c>
    </row>
    <row r="56" spans="1:7">
      <c r="A56" s="1" t="s">
        <v>143</v>
      </c>
      <c r="B56" s="1" t="s">
        <v>144</v>
      </c>
      <c r="C56" s="1">
        <v>8</v>
      </c>
      <c r="D56" s="1" t="s">
        <v>171</v>
      </c>
      <c r="E56" s="1" t="s">
        <v>705</v>
      </c>
      <c r="F56" s="1" t="s">
        <v>704</v>
      </c>
      <c r="G56" s="1" t="s">
        <v>182</v>
      </c>
    </row>
    <row r="57" spans="1:7">
      <c r="A57" s="1" t="s">
        <v>143</v>
      </c>
      <c r="B57" s="1" t="s">
        <v>144</v>
      </c>
      <c r="C57" s="1">
        <v>8</v>
      </c>
      <c r="D57" s="1" t="s">
        <v>172</v>
      </c>
      <c r="E57" s="1" t="s">
        <v>174</v>
      </c>
      <c r="F57" s="1" t="s">
        <v>544</v>
      </c>
    </row>
    <row r="58" spans="1:7">
      <c r="A58" s="1" t="s">
        <v>143</v>
      </c>
      <c r="B58" s="1" t="s">
        <v>144</v>
      </c>
      <c r="C58" s="1">
        <v>8</v>
      </c>
      <c r="D58" s="1" t="s">
        <v>173</v>
      </c>
      <c r="E58" s="1" t="s">
        <v>174</v>
      </c>
      <c r="F58" s="1" t="s">
        <v>145</v>
      </c>
      <c r="G58" s="1" t="s">
        <v>706</v>
      </c>
    </row>
    <row r="59" spans="1:7">
      <c r="A59" s="1" t="s">
        <v>143</v>
      </c>
      <c r="B59" s="1" t="s">
        <v>144</v>
      </c>
      <c r="C59" s="1">
        <v>8</v>
      </c>
      <c r="D59" s="1" t="s">
        <v>177</v>
      </c>
      <c r="E59" s="1" t="s">
        <v>175</v>
      </c>
    </row>
    <row r="60" spans="1:7">
      <c r="A60" s="1" t="s">
        <v>143</v>
      </c>
      <c r="B60" s="1" t="s">
        <v>144</v>
      </c>
      <c r="C60" s="1">
        <v>8</v>
      </c>
      <c r="D60" s="1" t="s">
        <v>176</v>
      </c>
      <c r="E60" s="1" t="s">
        <v>175</v>
      </c>
      <c r="F60" s="1" t="s">
        <v>178</v>
      </c>
    </row>
    <row r="61" spans="1:7">
      <c r="A61" s="1" t="s">
        <v>143</v>
      </c>
      <c r="B61" s="1" t="s">
        <v>144</v>
      </c>
      <c r="C61" s="1">
        <v>8</v>
      </c>
      <c r="D61" s="1" t="s">
        <v>179</v>
      </c>
      <c r="E61" s="1" t="s">
        <v>140</v>
      </c>
    </row>
    <row r="62" spans="1:7">
      <c r="A62" s="1" t="s">
        <v>143</v>
      </c>
      <c r="B62" s="1" t="s">
        <v>144</v>
      </c>
      <c r="C62" s="1">
        <v>8</v>
      </c>
      <c r="D62" s="1" t="s">
        <v>180</v>
      </c>
      <c r="E62" s="1" t="s">
        <v>140</v>
      </c>
      <c r="G62" s="1" t="s">
        <v>162</v>
      </c>
    </row>
    <row r="63" spans="1:7">
      <c r="A63" s="1" t="s">
        <v>143</v>
      </c>
      <c r="B63" s="1" t="s">
        <v>144</v>
      </c>
      <c r="C63" s="1">
        <v>8</v>
      </c>
      <c r="D63" s="1" t="s">
        <v>181</v>
      </c>
      <c r="E63" s="1" t="s">
        <v>140</v>
      </c>
      <c r="G63" s="1" t="s">
        <v>162</v>
      </c>
    </row>
    <row r="64" spans="1:7">
      <c r="A64" s="1" t="s">
        <v>143</v>
      </c>
      <c r="B64" s="1" t="s">
        <v>148</v>
      </c>
      <c r="C64" s="1">
        <v>9</v>
      </c>
      <c r="D64" s="1" t="s">
        <v>191</v>
      </c>
      <c r="E64" s="1" t="s">
        <v>217</v>
      </c>
      <c r="F64" s="1" t="s">
        <v>90</v>
      </c>
    </row>
    <row r="65" spans="1:10">
      <c r="A65" s="1" t="s">
        <v>143</v>
      </c>
      <c r="B65" s="1" t="s">
        <v>148</v>
      </c>
      <c r="C65" s="1">
        <v>9</v>
      </c>
      <c r="D65" s="1" t="s">
        <v>192</v>
      </c>
      <c r="E65" s="1" t="s">
        <v>217</v>
      </c>
      <c r="F65" s="1" t="s">
        <v>90</v>
      </c>
    </row>
    <row r="66" spans="1:10">
      <c r="A66" s="1" t="s">
        <v>143</v>
      </c>
      <c r="B66" s="1" t="s">
        <v>148</v>
      </c>
      <c r="C66" s="1">
        <v>9</v>
      </c>
      <c r="D66" s="1" t="s">
        <v>193</v>
      </c>
      <c r="E66" s="1" t="s">
        <v>217</v>
      </c>
      <c r="F66" s="1" t="s">
        <v>183</v>
      </c>
      <c r="J66" s="1" t="s">
        <v>221</v>
      </c>
    </row>
    <row r="67" spans="1:10">
      <c r="A67" s="1" t="s">
        <v>143</v>
      </c>
      <c r="B67" s="1" t="s">
        <v>148</v>
      </c>
      <c r="C67" s="1">
        <v>9</v>
      </c>
      <c r="D67" s="1" t="s">
        <v>194</v>
      </c>
      <c r="E67" s="1" t="s">
        <v>217</v>
      </c>
      <c r="F67" s="1" t="s">
        <v>183</v>
      </c>
    </row>
    <row r="68" spans="1:10">
      <c r="A68" s="1" t="s">
        <v>143</v>
      </c>
      <c r="B68" s="1" t="s">
        <v>148</v>
      </c>
      <c r="C68" s="1">
        <v>9</v>
      </c>
      <c r="D68" s="1" t="s">
        <v>195</v>
      </c>
      <c r="E68" s="1" t="s">
        <v>217</v>
      </c>
      <c r="F68" s="1" t="s">
        <v>184</v>
      </c>
      <c r="G68" s="1" t="s">
        <v>147</v>
      </c>
      <c r="J68" s="1" t="s">
        <v>21</v>
      </c>
    </row>
    <row r="69" spans="1:10">
      <c r="A69" s="1" t="s">
        <v>143</v>
      </c>
      <c r="B69" s="1" t="s">
        <v>148</v>
      </c>
      <c r="C69" s="1">
        <v>9</v>
      </c>
      <c r="D69" s="1" t="s">
        <v>196</v>
      </c>
      <c r="E69" s="1" t="s">
        <v>217</v>
      </c>
      <c r="F69" s="1" t="s">
        <v>184</v>
      </c>
      <c r="G69" s="1" t="s">
        <v>127</v>
      </c>
      <c r="J69" s="1" t="s">
        <v>220</v>
      </c>
    </row>
    <row r="70" spans="1:10">
      <c r="A70" s="1" t="s">
        <v>143</v>
      </c>
      <c r="B70" s="1" t="s">
        <v>148</v>
      </c>
      <c r="C70" s="1">
        <v>9</v>
      </c>
      <c r="D70" s="1" t="s">
        <v>197</v>
      </c>
      <c r="E70" s="1" t="s">
        <v>146</v>
      </c>
      <c r="F70" s="1" t="s">
        <v>185</v>
      </c>
      <c r="G70" s="1" t="s">
        <v>218</v>
      </c>
      <c r="J70" s="1" t="s">
        <v>28</v>
      </c>
    </row>
    <row r="71" spans="1:10">
      <c r="A71" s="1" t="s">
        <v>143</v>
      </c>
      <c r="B71" s="1" t="s">
        <v>148</v>
      </c>
      <c r="C71" s="1">
        <v>9</v>
      </c>
      <c r="D71" s="1" t="s">
        <v>198</v>
      </c>
      <c r="E71" s="1" t="s">
        <v>146</v>
      </c>
      <c r="F71" s="1" t="s">
        <v>185</v>
      </c>
      <c r="G71" s="1" t="s">
        <v>218</v>
      </c>
    </row>
    <row r="72" spans="1:10">
      <c r="A72" s="1" t="s">
        <v>143</v>
      </c>
      <c r="B72" s="1" t="s">
        <v>148</v>
      </c>
      <c r="C72" s="1">
        <v>9</v>
      </c>
      <c r="D72" s="1" t="s">
        <v>199</v>
      </c>
      <c r="E72" s="1" t="s">
        <v>146</v>
      </c>
      <c r="F72" s="1" t="s">
        <v>186</v>
      </c>
      <c r="G72" s="1" t="s">
        <v>81</v>
      </c>
    </row>
    <row r="73" spans="1:10">
      <c r="A73" s="1" t="s">
        <v>143</v>
      </c>
      <c r="B73" s="1" t="s">
        <v>148</v>
      </c>
      <c r="C73" s="1">
        <v>9</v>
      </c>
      <c r="D73" s="1" t="s">
        <v>200</v>
      </c>
      <c r="E73" s="1" t="s">
        <v>146</v>
      </c>
      <c r="F73" s="1" t="s">
        <v>186</v>
      </c>
      <c r="G73" s="1" t="s">
        <v>219</v>
      </c>
    </row>
    <row r="74" spans="1:10">
      <c r="A74" s="1" t="s">
        <v>143</v>
      </c>
      <c r="B74" s="1" t="s">
        <v>148</v>
      </c>
      <c r="C74" s="1">
        <v>9</v>
      </c>
      <c r="D74" s="1" t="s">
        <v>204</v>
      </c>
      <c r="E74" s="1" t="s">
        <v>215</v>
      </c>
      <c r="F74" s="1" t="s">
        <v>187</v>
      </c>
    </row>
    <row r="75" spans="1:10">
      <c r="A75" s="1" t="s">
        <v>143</v>
      </c>
      <c r="B75" s="1" t="s">
        <v>148</v>
      </c>
      <c r="C75" s="1">
        <v>9</v>
      </c>
      <c r="D75" s="1" t="s">
        <v>201</v>
      </c>
      <c r="E75" s="1" t="s">
        <v>215</v>
      </c>
      <c r="F75" s="1" t="s">
        <v>187</v>
      </c>
    </row>
    <row r="76" spans="1:10">
      <c r="A76" s="1" t="s">
        <v>143</v>
      </c>
      <c r="B76" s="1" t="s">
        <v>148</v>
      </c>
      <c r="C76" s="1">
        <v>9</v>
      </c>
      <c r="D76" s="1" t="s">
        <v>202</v>
      </c>
      <c r="E76" s="1" t="s">
        <v>215</v>
      </c>
      <c r="F76" s="1" t="s">
        <v>187</v>
      </c>
      <c r="G76" s="1" t="s">
        <v>22</v>
      </c>
    </row>
    <row r="77" spans="1:10">
      <c r="A77" s="1" t="s">
        <v>143</v>
      </c>
      <c r="B77" s="1" t="s">
        <v>148</v>
      </c>
      <c r="C77" s="1">
        <v>9</v>
      </c>
      <c r="D77" s="1" t="s">
        <v>203</v>
      </c>
      <c r="E77" s="1" t="s">
        <v>215</v>
      </c>
      <c r="F77" s="1" t="s">
        <v>187</v>
      </c>
      <c r="G77" s="1" t="s">
        <v>222</v>
      </c>
    </row>
    <row r="78" spans="1:10">
      <c r="A78" s="1" t="s">
        <v>143</v>
      </c>
      <c r="B78" s="1" t="s">
        <v>148</v>
      </c>
      <c r="C78" s="1">
        <v>9</v>
      </c>
      <c r="D78" s="1" t="s">
        <v>205</v>
      </c>
      <c r="E78" s="1" t="s">
        <v>215</v>
      </c>
      <c r="F78" s="1" t="s">
        <v>188</v>
      </c>
    </row>
    <row r="79" spans="1:10">
      <c r="A79" s="1" t="s">
        <v>143</v>
      </c>
      <c r="B79" s="1" t="s">
        <v>148</v>
      </c>
      <c r="C79" s="1">
        <v>9</v>
      </c>
      <c r="D79" s="1" t="s">
        <v>206</v>
      </c>
      <c r="E79" s="1" t="s">
        <v>215</v>
      </c>
      <c r="F79" s="1" t="s">
        <v>188</v>
      </c>
    </row>
    <row r="80" spans="1:10">
      <c r="A80" s="1" t="s">
        <v>143</v>
      </c>
      <c r="B80" s="1" t="s">
        <v>148</v>
      </c>
      <c r="C80" s="1">
        <v>9</v>
      </c>
      <c r="D80" s="1" t="s">
        <v>207</v>
      </c>
      <c r="E80" s="1" t="s">
        <v>215</v>
      </c>
      <c r="F80" s="1" t="s">
        <v>188</v>
      </c>
    </row>
    <row r="81" spans="1:7">
      <c r="A81" s="1" t="s">
        <v>143</v>
      </c>
      <c r="B81" s="1" t="s">
        <v>148</v>
      </c>
      <c r="C81" s="1">
        <v>9</v>
      </c>
      <c r="D81" s="1" t="s">
        <v>208</v>
      </c>
      <c r="E81" s="1" t="s">
        <v>215</v>
      </c>
      <c r="F81" s="1" t="s">
        <v>140</v>
      </c>
    </row>
    <row r="82" spans="1:7">
      <c r="A82" s="1" t="s">
        <v>143</v>
      </c>
      <c r="B82" s="1" t="s">
        <v>148</v>
      </c>
      <c r="C82" s="1">
        <v>9</v>
      </c>
      <c r="D82" s="1" t="s">
        <v>210</v>
      </c>
      <c r="E82" s="1" t="s">
        <v>215</v>
      </c>
      <c r="F82" s="1" t="s">
        <v>140</v>
      </c>
    </row>
    <row r="83" spans="1:7">
      <c r="A83" s="1" t="s">
        <v>143</v>
      </c>
      <c r="B83" s="1" t="s">
        <v>148</v>
      </c>
      <c r="C83" s="1">
        <v>9</v>
      </c>
      <c r="D83" s="1" t="s">
        <v>209</v>
      </c>
      <c r="E83" s="1" t="s">
        <v>215</v>
      </c>
      <c r="F83" s="1" t="s">
        <v>140</v>
      </c>
    </row>
    <row r="84" spans="1:7">
      <c r="A84" s="1" t="s">
        <v>143</v>
      </c>
      <c r="B84" s="1" t="s">
        <v>148</v>
      </c>
      <c r="C84" s="1">
        <v>9</v>
      </c>
      <c r="D84" s="1" t="s">
        <v>214</v>
      </c>
      <c r="E84" s="1" t="s">
        <v>216</v>
      </c>
      <c r="F84" s="1" t="s">
        <v>190</v>
      </c>
    </row>
    <row r="85" spans="1:7">
      <c r="A85" s="1" t="s">
        <v>143</v>
      </c>
      <c r="B85" s="1" t="s">
        <v>148</v>
      </c>
      <c r="C85" s="1">
        <v>9</v>
      </c>
      <c r="D85" s="1" t="s">
        <v>212</v>
      </c>
      <c r="E85" s="1" t="s">
        <v>216</v>
      </c>
      <c r="F85" s="1" t="s">
        <v>190</v>
      </c>
    </row>
    <row r="86" spans="1:7">
      <c r="A86" s="1" t="s">
        <v>143</v>
      </c>
      <c r="B86" s="1" t="s">
        <v>148</v>
      </c>
      <c r="C86" s="1">
        <v>9</v>
      </c>
      <c r="D86" s="1" t="s">
        <v>213</v>
      </c>
      <c r="E86" s="1" t="s">
        <v>216</v>
      </c>
      <c r="F86" s="1" t="s">
        <v>22</v>
      </c>
    </row>
    <row r="87" spans="1:7">
      <c r="A87" s="1" t="s">
        <v>143</v>
      </c>
      <c r="B87" s="1" t="s">
        <v>148</v>
      </c>
      <c r="C87" s="1">
        <v>9</v>
      </c>
      <c r="D87" s="1" t="s">
        <v>211</v>
      </c>
      <c r="E87" s="1" t="s">
        <v>216</v>
      </c>
      <c r="F87" s="1" t="s">
        <v>189</v>
      </c>
    </row>
    <row r="90" spans="1:7">
      <c r="A90" s="1" t="s">
        <v>139</v>
      </c>
      <c r="B90" s="1" t="s">
        <v>424</v>
      </c>
      <c r="C90" s="1">
        <v>4</v>
      </c>
      <c r="D90" s="1" t="s">
        <v>712</v>
      </c>
    </row>
    <row r="91" spans="1:7">
      <c r="A91" s="1" t="s">
        <v>139</v>
      </c>
      <c r="B91" s="1" t="s">
        <v>424</v>
      </c>
      <c r="C91" s="1">
        <v>4</v>
      </c>
      <c r="D91" s="1" t="s">
        <v>713</v>
      </c>
      <c r="G91" s="1" t="s">
        <v>716</v>
      </c>
    </row>
    <row r="92" spans="1:7">
      <c r="A92" s="1" t="s">
        <v>139</v>
      </c>
      <c r="B92" s="1" t="s">
        <v>424</v>
      </c>
      <c r="C92" s="1">
        <v>4</v>
      </c>
      <c r="D92" s="1" t="s">
        <v>714</v>
      </c>
    </row>
    <row r="93" spans="1:7">
      <c r="A93" s="1" t="s">
        <v>139</v>
      </c>
      <c r="B93" s="1" t="s">
        <v>424</v>
      </c>
      <c r="C93" s="1">
        <v>4</v>
      </c>
      <c r="D93" s="1" t="s">
        <v>715</v>
      </c>
    </row>
    <row r="94" spans="1:7">
      <c r="A94" s="1" t="s">
        <v>139</v>
      </c>
      <c r="B94" s="1" t="s">
        <v>425</v>
      </c>
      <c r="C94" s="1">
        <v>5</v>
      </c>
      <c r="D94" s="1" t="s">
        <v>720</v>
      </c>
      <c r="E94" s="1" t="s">
        <v>725</v>
      </c>
      <c r="G94" s="1" t="s">
        <v>724</v>
      </c>
    </row>
    <row r="95" spans="1:7">
      <c r="A95" s="1" t="s">
        <v>139</v>
      </c>
      <c r="B95" s="1" t="s">
        <v>425</v>
      </c>
      <c r="C95" s="1">
        <v>5</v>
      </c>
      <c r="D95" s="1" t="s">
        <v>721</v>
      </c>
      <c r="E95" s="1" t="s">
        <v>725</v>
      </c>
    </row>
    <row r="96" spans="1:7">
      <c r="A96" s="1" t="s">
        <v>139</v>
      </c>
      <c r="B96" s="1" t="s">
        <v>425</v>
      </c>
      <c r="C96" s="1">
        <v>5</v>
      </c>
      <c r="D96" s="1" t="s">
        <v>719</v>
      </c>
      <c r="E96" s="1" t="s">
        <v>222</v>
      </c>
      <c r="G96" s="1" t="s">
        <v>184</v>
      </c>
    </row>
    <row r="97" spans="1:10">
      <c r="A97" s="1" t="s">
        <v>139</v>
      </c>
      <c r="B97" s="1" t="s">
        <v>425</v>
      </c>
      <c r="C97" s="1">
        <v>5</v>
      </c>
      <c r="D97" s="1" t="s">
        <v>722</v>
      </c>
      <c r="E97" s="1" t="s">
        <v>222</v>
      </c>
      <c r="G97" s="1" t="s">
        <v>22</v>
      </c>
    </row>
    <row r="98" spans="1:10">
      <c r="A98" s="1" t="s">
        <v>139</v>
      </c>
      <c r="B98" s="1" t="s">
        <v>425</v>
      </c>
      <c r="C98" s="1">
        <v>5</v>
      </c>
      <c r="D98" s="1" t="s">
        <v>723</v>
      </c>
      <c r="E98" s="1" t="s">
        <v>726</v>
      </c>
    </row>
    <row r="100" spans="1:10">
      <c r="A100" s="1" t="s">
        <v>66</v>
      </c>
      <c r="B100" s="1" t="s">
        <v>133</v>
      </c>
      <c r="C100" s="1">
        <v>13</v>
      </c>
      <c r="D100" s="1" t="s">
        <v>349</v>
      </c>
      <c r="E100" s="1" t="s">
        <v>376</v>
      </c>
      <c r="G100" s="1" t="s">
        <v>375</v>
      </c>
    </row>
    <row r="101" spans="1:10">
      <c r="A101" s="1" t="s">
        <v>66</v>
      </c>
      <c r="B101" s="1" t="s">
        <v>133</v>
      </c>
      <c r="C101" s="1">
        <v>13</v>
      </c>
      <c r="D101" s="1" t="s">
        <v>350</v>
      </c>
      <c r="E101" s="1" t="s">
        <v>161</v>
      </c>
    </row>
    <row r="102" spans="1:10">
      <c r="A102" s="1" t="s">
        <v>66</v>
      </c>
      <c r="B102" s="1" t="s">
        <v>133</v>
      </c>
      <c r="C102" s="1">
        <v>13</v>
      </c>
      <c r="D102" s="1" t="s">
        <v>351</v>
      </c>
      <c r="E102" s="1" t="s">
        <v>161</v>
      </c>
    </row>
    <row r="103" spans="1:10">
      <c r="A103" s="1" t="s">
        <v>66</v>
      </c>
      <c r="B103" s="1" t="s">
        <v>133</v>
      </c>
      <c r="C103" s="1">
        <v>13</v>
      </c>
      <c r="D103" s="1" t="s">
        <v>352</v>
      </c>
      <c r="E103" s="1" t="s">
        <v>372</v>
      </c>
      <c r="F103" s="1">
        <v>1</v>
      </c>
      <c r="G103" s="1" t="s">
        <v>373</v>
      </c>
    </row>
    <row r="104" spans="1:10" ht="34.799999999999997">
      <c r="A104" s="1" t="s">
        <v>66</v>
      </c>
      <c r="B104" s="1" t="s">
        <v>133</v>
      </c>
      <c r="C104" s="1">
        <v>13</v>
      </c>
      <c r="D104" s="1" t="s">
        <v>353</v>
      </c>
      <c r="E104" s="1" t="s">
        <v>25</v>
      </c>
      <c r="F104" s="1">
        <v>2</v>
      </c>
      <c r="G104" s="1" t="s">
        <v>371</v>
      </c>
      <c r="I104" s="2" t="s">
        <v>374</v>
      </c>
    </row>
    <row r="105" spans="1:10">
      <c r="A105" s="1" t="s">
        <v>66</v>
      </c>
      <c r="B105" s="1" t="s">
        <v>133</v>
      </c>
      <c r="C105" s="1">
        <v>13</v>
      </c>
      <c r="D105" s="1" t="s">
        <v>354</v>
      </c>
      <c r="E105" s="1" t="s">
        <v>25</v>
      </c>
      <c r="F105" s="1">
        <v>2</v>
      </c>
      <c r="G105" s="1" t="s">
        <v>72</v>
      </c>
      <c r="J105" s="1" t="s">
        <v>370</v>
      </c>
    </row>
    <row r="106" spans="1:10">
      <c r="A106" s="1" t="s">
        <v>66</v>
      </c>
      <c r="B106" s="1" t="s">
        <v>133</v>
      </c>
      <c r="C106" s="1">
        <v>13</v>
      </c>
      <c r="D106" s="1" t="s">
        <v>355</v>
      </c>
      <c r="E106" s="1" t="s">
        <v>362</v>
      </c>
      <c r="F106" s="1">
        <v>3</v>
      </c>
      <c r="G106" s="1" t="s">
        <v>367</v>
      </c>
    </row>
    <row r="107" spans="1:10">
      <c r="A107" s="1" t="s">
        <v>66</v>
      </c>
      <c r="B107" s="1" t="s">
        <v>133</v>
      </c>
      <c r="C107" s="1">
        <v>13</v>
      </c>
      <c r="D107" s="1" t="s">
        <v>356</v>
      </c>
      <c r="E107" s="1" t="s">
        <v>362</v>
      </c>
      <c r="F107" s="1">
        <v>3</v>
      </c>
      <c r="G107" s="1" t="s">
        <v>368</v>
      </c>
      <c r="J107" s="1" t="s">
        <v>377</v>
      </c>
    </row>
    <row r="108" spans="1:10">
      <c r="A108" s="1" t="s">
        <v>66</v>
      </c>
      <c r="B108" s="1" t="s">
        <v>133</v>
      </c>
      <c r="C108" s="1">
        <v>13</v>
      </c>
      <c r="D108" s="1" t="s">
        <v>357</v>
      </c>
      <c r="E108" s="1" t="s">
        <v>362</v>
      </c>
      <c r="F108" s="1">
        <v>3</v>
      </c>
      <c r="G108" s="1" t="s">
        <v>369</v>
      </c>
    </row>
    <row r="109" spans="1:10">
      <c r="A109" s="1" t="s">
        <v>66</v>
      </c>
      <c r="B109" s="1" t="s">
        <v>133</v>
      </c>
      <c r="C109" s="1">
        <v>13</v>
      </c>
      <c r="D109" s="1" t="s">
        <v>358</v>
      </c>
      <c r="E109" s="1">
        <v>1</v>
      </c>
      <c r="F109" s="1">
        <v>1234</v>
      </c>
      <c r="G109" s="1" t="s">
        <v>363</v>
      </c>
    </row>
    <row r="110" spans="1:10">
      <c r="A110" s="1" t="s">
        <v>66</v>
      </c>
      <c r="B110" s="1" t="s">
        <v>133</v>
      </c>
      <c r="C110" s="1">
        <v>13</v>
      </c>
      <c r="D110" s="1" t="s">
        <v>359</v>
      </c>
      <c r="E110" s="1">
        <v>2</v>
      </c>
      <c r="F110" s="1">
        <v>1234</v>
      </c>
      <c r="G110" s="1" t="s">
        <v>364</v>
      </c>
    </row>
    <row r="111" spans="1:10">
      <c r="A111" s="1" t="s">
        <v>66</v>
      </c>
      <c r="B111" s="1" t="s">
        <v>133</v>
      </c>
      <c r="C111" s="1">
        <v>13</v>
      </c>
      <c r="D111" s="1" t="s">
        <v>360</v>
      </c>
      <c r="E111" s="1">
        <v>3</v>
      </c>
      <c r="F111" s="1">
        <v>1234</v>
      </c>
      <c r="G111" s="1" t="s">
        <v>365</v>
      </c>
    </row>
    <row r="112" spans="1:10">
      <c r="A112" s="1" t="s">
        <v>66</v>
      </c>
      <c r="B112" s="1" t="s">
        <v>133</v>
      </c>
      <c r="C112" s="1">
        <v>13</v>
      </c>
      <c r="D112" s="1" t="s">
        <v>361</v>
      </c>
      <c r="E112" s="1">
        <v>4</v>
      </c>
      <c r="F112" s="1">
        <v>1234</v>
      </c>
      <c r="G112" s="1" t="s">
        <v>366</v>
      </c>
    </row>
    <row r="113" spans="1:10">
      <c r="A113" s="1" t="s">
        <v>66</v>
      </c>
      <c r="B113" s="1" t="s">
        <v>134</v>
      </c>
      <c r="C113" s="1">
        <v>10</v>
      </c>
      <c r="D113" s="1" t="s">
        <v>378</v>
      </c>
      <c r="E113" s="1" t="s">
        <v>182</v>
      </c>
    </row>
    <row r="114" spans="1:10">
      <c r="A114" s="1" t="s">
        <v>66</v>
      </c>
      <c r="B114" s="1" t="s">
        <v>134</v>
      </c>
      <c r="C114" s="1">
        <v>10</v>
      </c>
      <c r="D114" s="1" t="s">
        <v>381</v>
      </c>
      <c r="E114" s="1" t="s">
        <v>382</v>
      </c>
    </row>
    <row r="115" spans="1:10">
      <c r="A115" s="1" t="s">
        <v>66</v>
      </c>
      <c r="B115" s="1" t="s">
        <v>134</v>
      </c>
      <c r="C115" s="1">
        <v>10</v>
      </c>
      <c r="D115" s="1" t="s">
        <v>379</v>
      </c>
      <c r="E115" s="1" t="s">
        <v>183</v>
      </c>
      <c r="G115" s="1" t="s">
        <v>294</v>
      </c>
      <c r="J115" s="1" t="s">
        <v>706</v>
      </c>
    </row>
    <row r="116" spans="1:10">
      <c r="A116" s="1" t="s">
        <v>66</v>
      </c>
      <c r="B116" s="1" t="s">
        <v>134</v>
      </c>
      <c r="C116" s="1">
        <v>10</v>
      </c>
      <c r="D116" s="1" t="s">
        <v>380</v>
      </c>
      <c r="E116" s="1" t="s">
        <v>183</v>
      </c>
      <c r="G116" s="1" t="s">
        <v>134</v>
      </c>
      <c r="J116" s="1" t="s">
        <v>161</v>
      </c>
    </row>
    <row r="117" spans="1:10">
      <c r="A117" s="1" t="s">
        <v>66</v>
      </c>
      <c r="B117" s="1" t="s">
        <v>134</v>
      </c>
      <c r="C117" s="1">
        <v>10</v>
      </c>
      <c r="D117" s="1" t="s">
        <v>383</v>
      </c>
      <c r="E117" s="1" t="s">
        <v>728</v>
      </c>
      <c r="G117" s="1" t="s">
        <v>727</v>
      </c>
      <c r="J117" s="1" t="s">
        <v>183</v>
      </c>
    </row>
    <row r="118" spans="1:10">
      <c r="A118" s="1" t="s">
        <v>66</v>
      </c>
      <c r="B118" s="1" t="s">
        <v>134</v>
      </c>
      <c r="C118" s="1">
        <v>10</v>
      </c>
      <c r="D118" s="1" t="s">
        <v>384</v>
      </c>
      <c r="E118" s="1" t="s">
        <v>728</v>
      </c>
      <c r="G118" s="1" t="s">
        <v>386</v>
      </c>
    </row>
    <row r="119" spans="1:10">
      <c r="A119" s="1" t="s">
        <v>66</v>
      </c>
      <c r="B119" s="1" t="s">
        <v>134</v>
      </c>
      <c r="C119" s="1">
        <v>10</v>
      </c>
      <c r="D119" s="1" t="s">
        <v>385</v>
      </c>
      <c r="E119" s="1" t="s">
        <v>728</v>
      </c>
      <c r="G119" s="1" t="s">
        <v>175</v>
      </c>
      <c r="J119" s="1" t="s">
        <v>69</v>
      </c>
    </row>
    <row r="120" spans="1:10">
      <c r="A120" s="1" t="s">
        <v>66</v>
      </c>
      <c r="B120" s="1" t="s">
        <v>134</v>
      </c>
      <c r="C120" s="1">
        <v>10</v>
      </c>
      <c r="D120" s="1" t="s">
        <v>388</v>
      </c>
      <c r="E120" s="1" t="s">
        <v>390</v>
      </c>
      <c r="G120" s="1" t="s">
        <v>710</v>
      </c>
    </row>
    <row r="121" spans="1:10">
      <c r="A121" s="1" t="s">
        <v>66</v>
      </c>
      <c r="B121" s="1" t="s">
        <v>134</v>
      </c>
      <c r="C121" s="1">
        <v>10</v>
      </c>
      <c r="D121" s="1" t="s">
        <v>387</v>
      </c>
      <c r="E121" s="1" t="s">
        <v>390</v>
      </c>
      <c r="G121" s="1" t="s">
        <v>391</v>
      </c>
    </row>
    <row r="122" spans="1:10">
      <c r="A122" s="1" t="s">
        <v>66</v>
      </c>
      <c r="B122" s="1" t="s">
        <v>134</v>
      </c>
      <c r="C122" s="1">
        <v>10</v>
      </c>
      <c r="D122" s="1" t="s">
        <v>389</v>
      </c>
      <c r="E122" s="1" t="s">
        <v>390</v>
      </c>
      <c r="G122" s="1" t="s">
        <v>162</v>
      </c>
    </row>
    <row r="124" spans="1:10">
      <c r="A124" s="1" t="s">
        <v>407</v>
      </c>
      <c r="B124" s="1" t="s">
        <v>88</v>
      </c>
      <c r="C124" s="1">
        <v>11</v>
      </c>
      <c r="D124" s="1" t="s">
        <v>729</v>
      </c>
    </row>
    <row r="125" spans="1:10">
      <c r="A125" s="1" t="s">
        <v>407</v>
      </c>
      <c r="B125" s="1" t="s">
        <v>88</v>
      </c>
      <c r="C125" s="1">
        <v>11</v>
      </c>
      <c r="D125" s="1" t="s">
        <v>731</v>
      </c>
    </row>
    <row r="126" spans="1:10">
      <c r="A126" s="1" t="s">
        <v>407</v>
      </c>
      <c r="B126" s="1" t="s">
        <v>88</v>
      </c>
      <c r="C126" s="1">
        <v>11</v>
      </c>
      <c r="D126" s="1" t="s">
        <v>730</v>
      </c>
    </row>
    <row r="127" spans="1:10">
      <c r="A127" s="1" t="s">
        <v>407</v>
      </c>
      <c r="B127" s="1" t="s">
        <v>88</v>
      </c>
      <c r="C127" s="1">
        <v>11</v>
      </c>
      <c r="D127" s="1" t="s">
        <v>732</v>
      </c>
    </row>
    <row r="128" spans="1:10">
      <c r="A128" s="1" t="s">
        <v>407</v>
      </c>
      <c r="B128" s="1" t="s">
        <v>88</v>
      </c>
      <c r="C128" s="1">
        <v>11</v>
      </c>
      <c r="D128" s="1" t="s">
        <v>733</v>
      </c>
      <c r="F128" s="1" t="s">
        <v>741</v>
      </c>
    </row>
    <row r="129" spans="1:10">
      <c r="A129" s="1" t="s">
        <v>407</v>
      </c>
      <c r="B129" s="1" t="s">
        <v>88</v>
      </c>
      <c r="C129" s="1">
        <v>11</v>
      </c>
      <c r="D129" s="1" t="s">
        <v>734</v>
      </c>
    </row>
    <row r="130" spans="1:10">
      <c r="A130" s="1" t="s">
        <v>407</v>
      </c>
      <c r="B130" s="1" t="s">
        <v>88</v>
      </c>
      <c r="C130" s="1">
        <v>11</v>
      </c>
      <c r="D130" s="1" t="s">
        <v>735</v>
      </c>
      <c r="G130" s="1" t="s">
        <v>740</v>
      </c>
    </row>
    <row r="131" spans="1:10">
      <c r="A131" s="1" t="s">
        <v>407</v>
      </c>
      <c r="B131" s="1" t="s">
        <v>88</v>
      </c>
      <c r="C131" s="1">
        <v>11</v>
      </c>
      <c r="D131" s="1" t="s">
        <v>736</v>
      </c>
    </row>
    <row r="132" spans="1:10">
      <c r="A132" s="1" t="s">
        <v>407</v>
      </c>
      <c r="B132" s="1" t="s">
        <v>88</v>
      </c>
      <c r="C132" s="1">
        <v>11</v>
      </c>
      <c r="D132" s="1" t="s">
        <v>737</v>
      </c>
    </row>
    <row r="133" spans="1:10">
      <c r="A133" s="1" t="s">
        <v>407</v>
      </c>
      <c r="B133" s="1" t="s">
        <v>88</v>
      </c>
      <c r="C133" s="1">
        <v>11</v>
      </c>
      <c r="D133" s="1" t="s">
        <v>738</v>
      </c>
    </row>
    <row r="134" spans="1:10">
      <c r="A134" s="1" t="s">
        <v>407</v>
      </c>
      <c r="B134" s="1" t="s">
        <v>88</v>
      </c>
      <c r="C134" s="1">
        <v>11</v>
      </c>
      <c r="D134" s="1" t="s">
        <v>739</v>
      </c>
    </row>
    <row r="135" spans="1:10">
      <c r="A135" s="1" t="s">
        <v>407</v>
      </c>
      <c r="B135" s="1" t="s">
        <v>184</v>
      </c>
      <c r="C135" s="1">
        <v>6</v>
      </c>
      <c r="D135" s="1" t="s">
        <v>742</v>
      </c>
      <c r="F135" s="1" t="s">
        <v>697</v>
      </c>
      <c r="G135" s="1" t="s">
        <v>748</v>
      </c>
    </row>
    <row r="136" spans="1:10">
      <c r="A136" s="1" t="s">
        <v>407</v>
      </c>
      <c r="B136" s="1" t="s">
        <v>184</v>
      </c>
      <c r="C136" s="1">
        <v>6</v>
      </c>
      <c r="D136" s="1" t="s">
        <v>743</v>
      </c>
      <c r="J136" s="1" t="s">
        <v>749</v>
      </c>
    </row>
    <row r="137" spans="1:10">
      <c r="A137" s="1" t="s">
        <v>407</v>
      </c>
      <c r="B137" s="1" t="s">
        <v>184</v>
      </c>
      <c r="C137" s="1">
        <v>6</v>
      </c>
      <c r="D137" s="1" t="s">
        <v>744</v>
      </c>
    </row>
    <row r="138" spans="1:10">
      <c r="A138" s="1" t="s">
        <v>407</v>
      </c>
      <c r="B138" s="1" t="s">
        <v>184</v>
      </c>
      <c r="C138" s="1">
        <v>6</v>
      </c>
      <c r="D138" s="1" t="s">
        <v>745</v>
      </c>
    </row>
    <row r="139" spans="1:10">
      <c r="A139" s="1" t="s">
        <v>407</v>
      </c>
      <c r="B139" s="1" t="s">
        <v>184</v>
      </c>
      <c r="C139" s="1">
        <v>6</v>
      </c>
      <c r="D139" s="1" t="s">
        <v>746</v>
      </c>
    </row>
    <row r="140" spans="1:10">
      <c r="A140" s="1" t="s">
        <v>407</v>
      </c>
      <c r="B140" s="1" t="s">
        <v>184</v>
      </c>
      <c r="C140" s="1">
        <v>6</v>
      </c>
      <c r="D140" s="1" t="s">
        <v>747</v>
      </c>
    </row>
    <row r="141" spans="1:10">
      <c r="A141" s="1" t="s">
        <v>407</v>
      </c>
      <c r="B141" s="1" t="s">
        <v>410</v>
      </c>
      <c r="C141" s="1">
        <v>15</v>
      </c>
      <c r="D141" s="1" t="s">
        <v>750</v>
      </c>
      <c r="E141" s="1" t="s">
        <v>765</v>
      </c>
      <c r="F141" s="1" t="s">
        <v>189</v>
      </c>
      <c r="G141" s="1" t="s">
        <v>90</v>
      </c>
    </row>
    <row r="142" spans="1:10">
      <c r="A142" s="1" t="s">
        <v>407</v>
      </c>
      <c r="B142" s="1" t="s">
        <v>410</v>
      </c>
      <c r="C142" s="1">
        <v>15</v>
      </c>
      <c r="D142" s="1" t="s">
        <v>751</v>
      </c>
      <c r="E142" s="1" t="s">
        <v>765</v>
      </c>
      <c r="F142" s="1" t="s">
        <v>189</v>
      </c>
      <c r="G142" s="1" t="s">
        <v>90</v>
      </c>
    </row>
    <row r="143" spans="1:10">
      <c r="A143" s="1" t="s">
        <v>407</v>
      </c>
      <c r="B143" s="1" t="s">
        <v>410</v>
      </c>
      <c r="C143" s="1">
        <v>15</v>
      </c>
      <c r="D143" s="1" t="s">
        <v>752</v>
      </c>
      <c r="E143" s="1" t="s">
        <v>765</v>
      </c>
      <c r="F143" s="1" t="s">
        <v>189</v>
      </c>
      <c r="G143" s="1" t="s">
        <v>133</v>
      </c>
    </row>
    <row r="144" spans="1:10">
      <c r="A144" s="1" t="s">
        <v>407</v>
      </c>
      <c r="B144" s="1" t="s">
        <v>410</v>
      </c>
      <c r="C144" s="1">
        <v>15</v>
      </c>
      <c r="D144" s="1" t="s">
        <v>753</v>
      </c>
      <c r="E144" s="1" t="s">
        <v>765</v>
      </c>
      <c r="F144" s="1" t="s">
        <v>766</v>
      </c>
    </row>
    <row r="145" spans="1:10">
      <c r="A145" s="1" t="s">
        <v>407</v>
      </c>
      <c r="B145" s="1" t="s">
        <v>410</v>
      </c>
      <c r="C145" s="1">
        <v>15</v>
      </c>
      <c r="D145" s="1" t="s">
        <v>754</v>
      </c>
      <c r="E145" s="1" t="s">
        <v>765</v>
      </c>
      <c r="F145" s="1" t="s">
        <v>766</v>
      </c>
    </row>
    <row r="146" spans="1:10">
      <c r="A146" s="1" t="s">
        <v>407</v>
      </c>
      <c r="B146" s="1" t="s">
        <v>410</v>
      </c>
      <c r="C146" s="1">
        <v>15</v>
      </c>
      <c r="D146" s="1" t="s">
        <v>755</v>
      </c>
      <c r="E146" s="1" t="s">
        <v>767</v>
      </c>
      <c r="F146" s="1" t="s">
        <v>294</v>
      </c>
      <c r="G146" s="1" t="s">
        <v>771</v>
      </c>
    </row>
    <row r="147" spans="1:10">
      <c r="A147" s="1" t="s">
        <v>407</v>
      </c>
      <c r="B147" s="1" t="s">
        <v>410</v>
      </c>
      <c r="C147" s="1">
        <v>15</v>
      </c>
      <c r="D147" s="1" t="s">
        <v>756</v>
      </c>
      <c r="E147" s="1" t="s">
        <v>767</v>
      </c>
      <c r="F147" s="1" t="s">
        <v>294</v>
      </c>
      <c r="G147" s="1" t="s">
        <v>772</v>
      </c>
    </row>
    <row r="148" spans="1:10">
      <c r="A148" s="1" t="s">
        <v>407</v>
      </c>
      <c r="B148" s="1" t="s">
        <v>410</v>
      </c>
      <c r="C148" s="1">
        <v>15</v>
      </c>
      <c r="D148" s="1" t="s">
        <v>757</v>
      </c>
      <c r="E148" s="1" t="s">
        <v>767</v>
      </c>
      <c r="F148" s="1" t="s">
        <v>183</v>
      </c>
      <c r="G148" s="1" t="s">
        <v>708</v>
      </c>
    </row>
    <row r="149" spans="1:10">
      <c r="A149" s="1" t="s">
        <v>407</v>
      </c>
      <c r="B149" s="1" t="s">
        <v>410</v>
      </c>
      <c r="C149" s="1">
        <v>15</v>
      </c>
      <c r="D149" s="1" t="s">
        <v>758</v>
      </c>
      <c r="E149" s="1" t="s">
        <v>767</v>
      </c>
      <c r="F149" s="1" t="s">
        <v>183</v>
      </c>
    </row>
    <row r="150" spans="1:10">
      <c r="A150" s="1" t="s">
        <v>407</v>
      </c>
      <c r="B150" s="1" t="s">
        <v>410</v>
      </c>
      <c r="C150" s="1">
        <v>15</v>
      </c>
      <c r="D150" s="1" t="s">
        <v>759</v>
      </c>
      <c r="E150" s="1" t="s">
        <v>767</v>
      </c>
      <c r="F150" s="1" t="s">
        <v>768</v>
      </c>
      <c r="G150" s="1" t="s">
        <v>772</v>
      </c>
      <c r="J150" s="1" t="s">
        <v>85</v>
      </c>
    </row>
    <row r="151" spans="1:10">
      <c r="A151" s="1" t="s">
        <v>407</v>
      </c>
      <c r="B151" s="1" t="s">
        <v>410</v>
      </c>
      <c r="C151" s="1">
        <v>15</v>
      </c>
      <c r="D151" s="1" t="s">
        <v>760</v>
      </c>
      <c r="E151" s="1" t="s">
        <v>767</v>
      </c>
      <c r="F151" s="1" t="s">
        <v>768</v>
      </c>
      <c r="G151" s="1" t="s">
        <v>773</v>
      </c>
    </row>
    <row r="152" spans="1:10">
      <c r="A152" s="1" t="s">
        <v>407</v>
      </c>
      <c r="B152" s="1" t="s">
        <v>410</v>
      </c>
      <c r="C152" s="1">
        <v>15</v>
      </c>
      <c r="D152" s="1" t="s">
        <v>761</v>
      </c>
      <c r="E152" s="1" t="s">
        <v>36</v>
      </c>
      <c r="G152" s="1" t="s">
        <v>708</v>
      </c>
      <c r="J152" s="1" t="s">
        <v>769</v>
      </c>
    </row>
    <row r="153" spans="1:10">
      <c r="A153" s="1" t="s">
        <v>407</v>
      </c>
      <c r="B153" s="1" t="s">
        <v>410</v>
      </c>
      <c r="C153" s="1">
        <v>15</v>
      </c>
      <c r="D153" s="1" t="s">
        <v>762</v>
      </c>
      <c r="E153" s="1" t="s">
        <v>36</v>
      </c>
      <c r="G153" s="1" t="s">
        <v>708</v>
      </c>
    </row>
    <row r="154" spans="1:10">
      <c r="A154" s="1" t="s">
        <v>407</v>
      </c>
      <c r="B154" s="1" t="s">
        <v>410</v>
      </c>
      <c r="C154" s="1">
        <v>15</v>
      </c>
      <c r="D154" s="1" t="s">
        <v>763</v>
      </c>
      <c r="E154" s="1" t="s">
        <v>770</v>
      </c>
    </row>
    <row r="155" spans="1:10">
      <c r="A155" s="1" t="s">
        <v>407</v>
      </c>
      <c r="B155" s="1" t="s">
        <v>410</v>
      </c>
      <c r="C155" s="1">
        <v>15</v>
      </c>
      <c r="D155" s="1" t="s">
        <v>764</v>
      </c>
      <c r="E155" s="1" t="s">
        <v>770</v>
      </c>
    </row>
    <row r="156" spans="1:10">
      <c r="A156" s="1" t="s">
        <v>407</v>
      </c>
      <c r="B156" s="1" t="s">
        <v>409</v>
      </c>
      <c r="C156" s="1">
        <v>14</v>
      </c>
      <c r="D156" s="1" t="s">
        <v>774</v>
      </c>
      <c r="E156" s="1" t="s">
        <v>788</v>
      </c>
      <c r="G156" s="1" t="s">
        <v>792</v>
      </c>
    </row>
    <row r="157" spans="1:10">
      <c r="A157" s="1" t="s">
        <v>407</v>
      </c>
      <c r="B157" s="1" t="s">
        <v>409</v>
      </c>
      <c r="C157" s="1">
        <v>14</v>
      </c>
      <c r="D157" s="1" t="s">
        <v>775</v>
      </c>
      <c r="E157" s="1" t="s">
        <v>788</v>
      </c>
    </row>
    <row r="158" spans="1:10">
      <c r="A158" s="1" t="s">
        <v>407</v>
      </c>
      <c r="B158" s="1" t="s">
        <v>409</v>
      </c>
      <c r="C158" s="1">
        <v>14</v>
      </c>
      <c r="D158" s="1" t="s">
        <v>776</v>
      </c>
      <c r="E158" s="1" t="s">
        <v>788</v>
      </c>
      <c r="G158" s="1" t="s">
        <v>793</v>
      </c>
    </row>
    <row r="159" spans="1:10">
      <c r="A159" s="1" t="s">
        <v>407</v>
      </c>
      <c r="B159" s="1" t="s">
        <v>409</v>
      </c>
      <c r="C159" s="1">
        <v>14</v>
      </c>
      <c r="D159" s="1" t="s">
        <v>777</v>
      </c>
      <c r="E159" s="1" t="s">
        <v>788</v>
      </c>
      <c r="G159" s="1" t="s">
        <v>791</v>
      </c>
    </row>
    <row r="160" spans="1:10">
      <c r="A160" s="1" t="s">
        <v>407</v>
      </c>
      <c r="B160" s="1" t="s">
        <v>409</v>
      </c>
      <c r="C160" s="1">
        <v>14</v>
      </c>
      <c r="D160" s="1" t="s">
        <v>778</v>
      </c>
      <c r="E160" s="1" t="s">
        <v>788</v>
      </c>
      <c r="G160" s="1" t="s">
        <v>790</v>
      </c>
    </row>
    <row r="161" spans="1:10">
      <c r="A161" s="1" t="s">
        <v>407</v>
      </c>
      <c r="B161" s="1" t="s">
        <v>409</v>
      </c>
      <c r="C161" s="1">
        <v>14</v>
      </c>
      <c r="D161" s="1" t="s">
        <v>779</v>
      </c>
      <c r="E161" s="1" t="s">
        <v>788</v>
      </c>
      <c r="G161" s="1" t="s">
        <v>790</v>
      </c>
    </row>
    <row r="162" spans="1:10">
      <c r="A162" s="1" t="s">
        <v>407</v>
      </c>
      <c r="B162" s="1" t="s">
        <v>409</v>
      </c>
      <c r="C162" s="1">
        <v>14</v>
      </c>
      <c r="D162" s="1" t="s">
        <v>780</v>
      </c>
      <c r="E162" s="1" t="s">
        <v>788</v>
      </c>
      <c r="G162" s="1" t="s">
        <v>71</v>
      </c>
    </row>
    <row r="163" spans="1:10">
      <c r="A163" s="1" t="s">
        <v>407</v>
      </c>
      <c r="B163" s="1" t="s">
        <v>409</v>
      </c>
      <c r="C163" s="1">
        <v>14</v>
      </c>
      <c r="D163" s="1" t="s">
        <v>781</v>
      </c>
      <c r="E163" s="1" t="s">
        <v>788</v>
      </c>
      <c r="G163" s="1" t="s">
        <v>789</v>
      </c>
    </row>
    <row r="164" spans="1:10">
      <c r="A164" s="1" t="s">
        <v>407</v>
      </c>
      <c r="B164" s="1" t="s">
        <v>409</v>
      </c>
      <c r="C164" s="1">
        <v>14</v>
      </c>
      <c r="D164" s="1" t="s">
        <v>782</v>
      </c>
      <c r="E164" s="1" t="s">
        <v>795</v>
      </c>
    </row>
    <row r="165" spans="1:10">
      <c r="A165" s="1" t="s">
        <v>407</v>
      </c>
      <c r="B165" s="1" t="s">
        <v>409</v>
      </c>
      <c r="C165" s="1">
        <v>14</v>
      </c>
      <c r="D165" s="1" t="s">
        <v>783</v>
      </c>
      <c r="E165" s="1" t="s">
        <v>795</v>
      </c>
    </row>
    <row r="166" spans="1:10">
      <c r="A166" s="1" t="s">
        <v>407</v>
      </c>
      <c r="B166" s="1" t="s">
        <v>409</v>
      </c>
      <c r="C166" s="1">
        <v>14</v>
      </c>
      <c r="D166" s="1" t="s">
        <v>784</v>
      </c>
      <c r="E166" s="1" t="s">
        <v>794</v>
      </c>
      <c r="F166" s="1" t="s">
        <v>797</v>
      </c>
      <c r="G166" s="1" t="s">
        <v>798</v>
      </c>
    </row>
    <row r="167" spans="1:10">
      <c r="A167" s="1" t="s">
        <v>407</v>
      </c>
      <c r="B167" s="1" t="s">
        <v>409</v>
      </c>
      <c r="C167" s="1">
        <v>14</v>
      </c>
      <c r="D167" s="1" t="s">
        <v>785</v>
      </c>
      <c r="E167" s="1" t="s">
        <v>794</v>
      </c>
      <c r="G167" s="1" t="s">
        <v>799</v>
      </c>
    </row>
    <row r="168" spans="1:10">
      <c r="A168" s="1" t="s">
        <v>407</v>
      </c>
      <c r="B168" s="1" t="s">
        <v>409</v>
      </c>
      <c r="C168" s="1">
        <v>14</v>
      </c>
      <c r="D168" s="1" t="s">
        <v>786</v>
      </c>
      <c r="E168" s="1" t="s">
        <v>794</v>
      </c>
      <c r="G168" s="1" t="s">
        <v>140</v>
      </c>
    </row>
    <row r="169" spans="1:10">
      <c r="A169" s="1" t="s">
        <v>407</v>
      </c>
      <c r="B169" s="1" t="s">
        <v>409</v>
      </c>
      <c r="C169" s="1">
        <v>14</v>
      </c>
      <c r="D169" s="1" t="s">
        <v>787</v>
      </c>
      <c r="E169" s="1" t="s">
        <v>794</v>
      </c>
    </row>
    <row r="171" spans="1:10">
      <c r="A171" s="1" t="s">
        <v>32</v>
      </c>
      <c r="B171" s="1" t="s">
        <v>6</v>
      </c>
      <c r="C171" s="1">
        <v>3</v>
      </c>
      <c r="D171" s="1" t="s">
        <v>7</v>
      </c>
    </row>
    <row r="172" spans="1:10">
      <c r="A172" s="1" t="s">
        <v>32</v>
      </c>
      <c r="B172" s="1" t="s">
        <v>6</v>
      </c>
      <c r="C172" s="1">
        <v>3</v>
      </c>
      <c r="D172" s="1" t="s">
        <v>8</v>
      </c>
      <c r="G172" s="1" t="s">
        <v>25</v>
      </c>
    </row>
    <row r="173" spans="1:10">
      <c r="A173" s="1" t="s">
        <v>32</v>
      </c>
      <c r="B173" s="1" t="s">
        <v>6</v>
      </c>
      <c r="C173" s="1">
        <v>3</v>
      </c>
      <c r="D173" s="1" t="s">
        <v>9</v>
      </c>
      <c r="G173" s="1" t="s">
        <v>26</v>
      </c>
    </row>
    <row r="174" spans="1:10">
      <c r="A174" s="1" t="s">
        <v>32</v>
      </c>
      <c r="B174" s="1" t="s">
        <v>1</v>
      </c>
      <c r="C174" s="1">
        <v>4</v>
      </c>
      <c r="D174" s="1" t="s">
        <v>2</v>
      </c>
      <c r="G174" s="1" t="s">
        <v>25</v>
      </c>
    </row>
    <row r="175" spans="1:10">
      <c r="A175" s="1" t="s">
        <v>32</v>
      </c>
      <c r="B175" s="1" t="s">
        <v>1</v>
      </c>
      <c r="C175" s="1">
        <v>4</v>
      </c>
      <c r="D175" s="1" t="s">
        <v>3</v>
      </c>
      <c r="G175" s="1" t="s">
        <v>27</v>
      </c>
      <c r="J175" s="1" t="s">
        <v>28</v>
      </c>
    </row>
    <row r="176" spans="1:10">
      <c r="A176" s="1" t="s">
        <v>32</v>
      </c>
      <c r="B176" s="1" t="s">
        <v>1</v>
      </c>
      <c r="C176" s="1">
        <v>4</v>
      </c>
      <c r="D176" s="1" t="s">
        <v>4</v>
      </c>
      <c r="G176" s="1" t="s">
        <v>29</v>
      </c>
    </row>
    <row r="177" spans="1:10" ht="52.2">
      <c r="A177" s="1" t="s">
        <v>32</v>
      </c>
      <c r="B177" s="1" t="s">
        <v>1</v>
      </c>
      <c r="C177" s="1">
        <v>4</v>
      </c>
      <c r="D177" s="1" t="s">
        <v>5</v>
      </c>
      <c r="G177" s="1" t="s">
        <v>31</v>
      </c>
      <c r="J177" s="2" t="s">
        <v>30</v>
      </c>
    </row>
    <row r="178" spans="1:10">
      <c r="A178" s="1" t="s">
        <v>32</v>
      </c>
      <c r="B178" s="1" t="s">
        <v>10</v>
      </c>
      <c r="C178" s="1">
        <v>5</v>
      </c>
      <c r="D178" s="1" t="s">
        <v>13</v>
      </c>
      <c r="E178" s="1" t="s">
        <v>21</v>
      </c>
      <c r="F178" s="1" t="s">
        <v>135</v>
      </c>
      <c r="G178" s="1" t="s">
        <v>22</v>
      </c>
    </row>
    <row r="179" spans="1:10">
      <c r="A179" s="1" t="s">
        <v>32</v>
      </c>
      <c r="B179" s="1" t="s">
        <v>10</v>
      </c>
      <c r="C179" s="1">
        <v>5</v>
      </c>
      <c r="D179" s="1" t="s">
        <v>14</v>
      </c>
      <c r="E179" s="1" t="s">
        <v>21</v>
      </c>
    </row>
    <row r="180" spans="1:10">
      <c r="A180" s="1" t="s">
        <v>32</v>
      </c>
      <c r="B180" s="1" t="s">
        <v>10</v>
      </c>
      <c r="C180" s="1">
        <v>5</v>
      </c>
      <c r="D180" s="1" t="s">
        <v>11</v>
      </c>
      <c r="E180" s="1" t="s">
        <v>20</v>
      </c>
    </row>
    <row r="181" spans="1:10">
      <c r="A181" s="1" t="s">
        <v>32</v>
      </c>
      <c r="B181" s="1" t="s">
        <v>10</v>
      </c>
      <c r="C181" s="1">
        <v>5</v>
      </c>
      <c r="D181" s="1" t="s">
        <v>12</v>
      </c>
      <c r="E181" s="1" t="s">
        <v>20</v>
      </c>
    </row>
    <row r="182" spans="1:10">
      <c r="A182" s="1" t="s">
        <v>32</v>
      </c>
      <c r="B182" s="1" t="s">
        <v>10</v>
      </c>
      <c r="C182" s="1">
        <v>5</v>
      </c>
      <c r="D182" s="1" t="s">
        <v>15</v>
      </c>
      <c r="E182" s="1" t="s">
        <v>22</v>
      </c>
      <c r="G182" s="1" t="s">
        <v>24</v>
      </c>
    </row>
    <row r="184" spans="1:10">
      <c r="A184" s="1" t="s">
        <v>247</v>
      </c>
      <c r="C184" s="1">
        <v>4</v>
      </c>
      <c r="D184" s="1" t="s">
        <v>250</v>
      </c>
      <c r="E184" s="1" t="s">
        <v>241</v>
      </c>
      <c r="F184" s="1" t="s">
        <v>264</v>
      </c>
      <c r="J184" s="1" t="s">
        <v>254</v>
      </c>
    </row>
    <row r="185" spans="1:10">
      <c r="A185" s="1" t="s">
        <v>247</v>
      </c>
      <c r="C185" s="1">
        <v>4</v>
      </c>
      <c r="D185" s="1" t="s">
        <v>251</v>
      </c>
      <c r="E185" s="1" t="s">
        <v>241</v>
      </c>
      <c r="F185" s="1" t="s">
        <v>265</v>
      </c>
      <c r="G185" s="1" t="s">
        <v>183</v>
      </c>
    </row>
    <row r="186" spans="1:10">
      <c r="A186" s="1" t="s">
        <v>247</v>
      </c>
      <c r="C186" s="1">
        <v>4</v>
      </c>
      <c r="D186" s="1" t="s">
        <v>252</v>
      </c>
      <c r="E186" s="1" t="s">
        <v>241</v>
      </c>
      <c r="F186" s="1" t="s">
        <v>266</v>
      </c>
      <c r="G186" s="1" t="s">
        <v>267</v>
      </c>
    </row>
    <row r="187" spans="1:10">
      <c r="A187" s="1" t="s">
        <v>247</v>
      </c>
      <c r="C187" s="1">
        <v>4</v>
      </c>
      <c r="D187" s="1" t="s">
        <v>253</v>
      </c>
      <c r="E187" s="1" t="s">
        <v>241</v>
      </c>
    </row>
    <row r="188" spans="1:10">
      <c r="A188" s="1" t="s">
        <v>247</v>
      </c>
      <c r="C188" s="1">
        <v>3</v>
      </c>
      <c r="D188" s="1" t="s">
        <v>257</v>
      </c>
      <c r="E188" s="1" t="s">
        <v>103</v>
      </c>
      <c r="G188" s="1" t="s">
        <v>270</v>
      </c>
      <c r="J188" s="1" t="s">
        <v>269</v>
      </c>
    </row>
    <row r="189" spans="1:10">
      <c r="A189" s="1" t="s">
        <v>247</v>
      </c>
      <c r="C189" s="1">
        <v>3</v>
      </c>
      <c r="D189" s="1" t="s">
        <v>255</v>
      </c>
      <c r="E189" s="1" t="s">
        <v>103</v>
      </c>
      <c r="G189" s="1" t="s">
        <v>271</v>
      </c>
    </row>
    <row r="190" spans="1:10">
      <c r="A190" s="1" t="s">
        <v>247</v>
      </c>
      <c r="C190" s="1">
        <v>3</v>
      </c>
      <c r="D190" s="1" t="s">
        <v>256</v>
      </c>
      <c r="E190" s="1" t="s">
        <v>103</v>
      </c>
      <c r="G190" s="1" t="s">
        <v>268</v>
      </c>
    </row>
    <row r="191" spans="1:10">
      <c r="A191" s="1" t="s">
        <v>247</v>
      </c>
      <c r="C191" s="1">
        <v>3</v>
      </c>
      <c r="D191" s="1" t="s">
        <v>258</v>
      </c>
      <c r="E191" s="1" t="s">
        <v>248</v>
      </c>
      <c r="G191" s="1" t="s">
        <v>273</v>
      </c>
      <c r="J191" s="1" t="s">
        <v>272</v>
      </c>
    </row>
    <row r="192" spans="1:10">
      <c r="A192" s="1" t="s">
        <v>247</v>
      </c>
      <c r="C192" s="1">
        <v>3</v>
      </c>
      <c r="D192" s="1" t="s">
        <v>260</v>
      </c>
      <c r="E192" s="1" t="s">
        <v>248</v>
      </c>
      <c r="G192" s="1" t="s">
        <v>273</v>
      </c>
    </row>
    <row r="193" spans="1:10">
      <c r="A193" s="1" t="s">
        <v>247</v>
      </c>
      <c r="C193" s="1">
        <v>3</v>
      </c>
      <c r="D193" s="1" t="s">
        <v>259</v>
      </c>
      <c r="E193" s="1" t="s">
        <v>248</v>
      </c>
      <c r="G193" s="1" t="s">
        <v>183</v>
      </c>
      <c r="J193" s="1" t="s">
        <v>274</v>
      </c>
    </row>
    <row r="194" spans="1:10">
      <c r="A194" s="1" t="s">
        <v>247</v>
      </c>
      <c r="C194" s="1">
        <v>3</v>
      </c>
      <c r="D194" s="1" t="s">
        <v>261</v>
      </c>
      <c r="E194" s="1" t="s">
        <v>249</v>
      </c>
      <c r="G194" s="1" t="s">
        <v>275</v>
      </c>
    </row>
    <row r="195" spans="1:10">
      <c r="A195" s="1" t="s">
        <v>247</v>
      </c>
      <c r="C195" s="1">
        <v>3</v>
      </c>
      <c r="D195" s="1" t="s">
        <v>262</v>
      </c>
      <c r="E195" s="1" t="s">
        <v>249</v>
      </c>
      <c r="F195" s="1" t="s">
        <v>276</v>
      </c>
      <c r="G195" s="1" t="s">
        <v>273</v>
      </c>
      <c r="J195" s="1" t="s">
        <v>278</v>
      </c>
    </row>
    <row r="196" spans="1:10">
      <c r="A196" s="1" t="s">
        <v>247</v>
      </c>
      <c r="C196" s="1">
        <v>3</v>
      </c>
      <c r="D196" s="1" t="s">
        <v>263</v>
      </c>
      <c r="E196" s="1" t="s">
        <v>249</v>
      </c>
      <c r="G196" s="1" t="s">
        <v>277</v>
      </c>
      <c r="J196" s="1" t="s">
        <v>279</v>
      </c>
    </row>
    <row r="198" spans="1:10">
      <c r="A198" s="1" t="s">
        <v>418</v>
      </c>
      <c r="B198" s="1" t="s">
        <v>419</v>
      </c>
      <c r="C198" s="1">
        <v>6</v>
      </c>
      <c r="D198" s="1" t="s">
        <v>177</v>
      </c>
      <c r="G198" s="1" t="s">
        <v>796</v>
      </c>
    </row>
    <row r="199" spans="1:10">
      <c r="A199" s="1" t="s">
        <v>418</v>
      </c>
      <c r="B199" s="1" t="s">
        <v>419</v>
      </c>
      <c r="C199" s="1">
        <v>6</v>
      </c>
      <c r="D199" s="1" t="s">
        <v>800</v>
      </c>
      <c r="G199" s="1" t="s">
        <v>822</v>
      </c>
    </row>
    <row r="200" spans="1:10">
      <c r="A200" s="1" t="s">
        <v>418</v>
      </c>
      <c r="B200" s="1" t="s">
        <v>419</v>
      </c>
      <c r="C200" s="1">
        <v>6</v>
      </c>
      <c r="D200" s="1" t="s">
        <v>801</v>
      </c>
      <c r="G200" s="1" t="s">
        <v>823</v>
      </c>
    </row>
    <row r="201" spans="1:10">
      <c r="A201" s="1" t="s">
        <v>418</v>
      </c>
      <c r="B201" s="1" t="s">
        <v>419</v>
      </c>
      <c r="C201" s="1">
        <v>6</v>
      </c>
      <c r="D201" s="1" t="s">
        <v>802</v>
      </c>
      <c r="G201" s="1" t="s">
        <v>796</v>
      </c>
    </row>
    <row r="202" spans="1:10">
      <c r="A202" s="1" t="s">
        <v>418</v>
      </c>
      <c r="B202" s="1" t="s">
        <v>419</v>
      </c>
      <c r="C202" s="1">
        <v>6</v>
      </c>
      <c r="D202" s="1" t="s">
        <v>804</v>
      </c>
      <c r="G202" s="1" t="s">
        <v>821</v>
      </c>
    </row>
    <row r="203" spans="1:10">
      <c r="A203" s="1" t="s">
        <v>418</v>
      </c>
      <c r="B203" s="1" t="s">
        <v>419</v>
      </c>
      <c r="C203" s="1">
        <v>6</v>
      </c>
      <c r="D203" s="1" t="s">
        <v>803</v>
      </c>
      <c r="G203" s="1" t="s">
        <v>139</v>
      </c>
    </row>
    <row r="204" spans="1:10">
      <c r="A204" s="1" t="s">
        <v>418</v>
      </c>
      <c r="B204" s="1" t="s">
        <v>422</v>
      </c>
      <c r="C204" s="1">
        <v>9</v>
      </c>
      <c r="D204" s="1" t="s">
        <v>805</v>
      </c>
      <c r="E204" s="1" t="s">
        <v>814</v>
      </c>
      <c r="G204" s="1" t="s">
        <v>148</v>
      </c>
    </row>
    <row r="205" spans="1:10">
      <c r="A205" s="1" t="s">
        <v>418</v>
      </c>
      <c r="B205" s="1" t="s">
        <v>422</v>
      </c>
      <c r="C205" s="1">
        <v>9</v>
      </c>
      <c r="D205" s="1" t="s">
        <v>806</v>
      </c>
      <c r="E205" s="1" t="s">
        <v>814</v>
      </c>
      <c r="G205" s="1" t="s">
        <v>148</v>
      </c>
    </row>
    <row r="206" spans="1:10">
      <c r="A206" s="1" t="s">
        <v>418</v>
      </c>
      <c r="B206" s="1" t="s">
        <v>422</v>
      </c>
      <c r="C206" s="1">
        <v>9</v>
      </c>
      <c r="D206" s="1" t="s">
        <v>807</v>
      </c>
      <c r="E206" s="1" t="s">
        <v>161</v>
      </c>
      <c r="G206" s="1" t="s">
        <v>816</v>
      </c>
    </row>
    <row r="207" spans="1:10">
      <c r="A207" s="1" t="s">
        <v>418</v>
      </c>
      <c r="B207" s="1" t="s">
        <v>422</v>
      </c>
      <c r="C207" s="1">
        <v>9</v>
      </c>
      <c r="D207" s="1" t="s">
        <v>808</v>
      </c>
      <c r="E207" s="1" t="s">
        <v>161</v>
      </c>
      <c r="G207" s="1" t="s">
        <v>816</v>
      </c>
    </row>
    <row r="208" spans="1:10">
      <c r="A208" s="1" t="s">
        <v>418</v>
      </c>
      <c r="B208" s="1" t="s">
        <v>422</v>
      </c>
      <c r="C208" s="1">
        <v>9</v>
      </c>
      <c r="D208" s="1" t="s">
        <v>809</v>
      </c>
      <c r="E208" s="1" t="s">
        <v>815</v>
      </c>
      <c r="G208" s="1" t="s">
        <v>817</v>
      </c>
    </row>
    <row r="209" spans="1:12">
      <c r="A209" s="1" t="s">
        <v>418</v>
      </c>
      <c r="B209" s="1" t="s">
        <v>422</v>
      </c>
      <c r="C209" s="1">
        <v>9</v>
      </c>
      <c r="D209" s="1" t="s">
        <v>810</v>
      </c>
      <c r="E209" s="1" t="s">
        <v>815</v>
      </c>
      <c r="G209" s="1" t="s">
        <v>818</v>
      </c>
    </row>
    <row r="210" spans="1:12">
      <c r="A210" s="1" t="s">
        <v>418</v>
      </c>
      <c r="B210" s="1" t="s">
        <v>422</v>
      </c>
      <c r="C210" s="1">
        <v>9</v>
      </c>
      <c r="D210" s="1" t="s">
        <v>813</v>
      </c>
      <c r="E210" s="1" t="s">
        <v>215</v>
      </c>
    </row>
    <row r="211" spans="1:12">
      <c r="A211" s="1" t="s">
        <v>418</v>
      </c>
      <c r="B211" s="1" t="s">
        <v>422</v>
      </c>
      <c r="C211" s="1">
        <v>9</v>
      </c>
      <c r="D211" s="1" t="s">
        <v>811</v>
      </c>
      <c r="E211" s="1" t="s">
        <v>347</v>
      </c>
      <c r="G211" s="1" t="s">
        <v>819</v>
      </c>
    </row>
    <row r="212" spans="1:12">
      <c r="A212" s="1" t="s">
        <v>418</v>
      </c>
      <c r="B212" s="1" t="s">
        <v>422</v>
      </c>
      <c r="C212" s="1">
        <v>9</v>
      </c>
      <c r="D212" s="1" t="s">
        <v>812</v>
      </c>
      <c r="E212" s="1" t="s">
        <v>347</v>
      </c>
      <c r="G212" s="1" t="s">
        <v>820</v>
      </c>
    </row>
    <row r="214" spans="1:12">
      <c r="A214" s="1" t="s">
        <v>398</v>
      </c>
      <c r="B214" s="1" t="s">
        <v>399</v>
      </c>
      <c r="C214" s="1">
        <v>2</v>
      </c>
      <c r="D214" s="1" t="s">
        <v>824</v>
      </c>
    </row>
    <row r="215" spans="1:12">
      <c r="A215" s="1" t="s">
        <v>398</v>
      </c>
      <c r="B215" s="1" t="s">
        <v>399</v>
      </c>
      <c r="C215" s="1">
        <v>2</v>
      </c>
      <c r="D215" s="1" t="s">
        <v>825</v>
      </c>
    </row>
    <row r="216" spans="1:12">
      <c r="A216" s="1" t="s">
        <v>398</v>
      </c>
      <c r="B216" s="1" t="s">
        <v>401</v>
      </c>
      <c r="C216" s="1">
        <v>6</v>
      </c>
      <c r="D216" s="1" t="s">
        <v>830</v>
      </c>
      <c r="G216" s="1" t="s">
        <v>837</v>
      </c>
    </row>
    <row r="217" spans="1:12">
      <c r="A217" s="1" t="s">
        <v>398</v>
      </c>
      <c r="B217" s="1" t="s">
        <v>401</v>
      </c>
      <c r="C217" s="1">
        <v>6</v>
      </c>
      <c r="D217" s="1" t="s">
        <v>828</v>
      </c>
      <c r="G217" s="1" t="s">
        <v>835</v>
      </c>
    </row>
    <row r="218" spans="1:12">
      <c r="A218" s="1" t="s">
        <v>398</v>
      </c>
      <c r="B218" s="1" t="s">
        <v>401</v>
      </c>
      <c r="C218" s="1">
        <v>6</v>
      </c>
      <c r="D218" s="1" t="s">
        <v>826</v>
      </c>
      <c r="G218" s="1" t="s">
        <v>831</v>
      </c>
      <c r="J218" s="1" t="s">
        <v>838</v>
      </c>
    </row>
    <row r="219" spans="1:12">
      <c r="A219" s="1" t="s">
        <v>398</v>
      </c>
      <c r="B219" s="1" t="s">
        <v>401</v>
      </c>
      <c r="C219" s="1">
        <v>6</v>
      </c>
      <c r="D219" s="1" t="s">
        <v>827</v>
      </c>
      <c r="G219" s="1" t="s">
        <v>834</v>
      </c>
    </row>
    <row r="220" spans="1:12">
      <c r="A220" s="1" t="s">
        <v>398</v>
      </c>
      <c r="B220" s="1" t="s">
        <v>401</v>
      </c>
      <c r="C220" s="1">
        <v>6</v>
      </c>
      <c r="D220" s="1" t="s">
        <v>832</v>
      </c>
      <c r="G220" s="1" t="s">
        <v>836</v>
      </c>
      <c r="L220" s="1"/>
    </row>
    <row r="221" spans="1:12">
      <c r="A221" s="1" t="s">
        <v>398</v>
      </c>
      <c r="B221" s="1" t="s">
        <v>401</v>
      </c>
      <c r="C221" s="1">
        <v>6</v>
      </c>
      <c r="D221" s="1" t="s">
        <v>829</v>
      </c>
      <c r="G221" s="1" t="s">
        <v>833</v>
      </c>
    </row>
    <row r="222" spans="1:12">
      <c r="A222" s="1" t="s">
        <v>398</v>
      </c>
      <c r="B222" s="1" t="s">
        <v>839</v>
      </c>
      <c r="C222" s="1">
        <v>7</v>
      </c>
      <c r="D222" s="1" t="s">
        <v>840</v>
      </c>
      <c r="F222" s="1" t="s">
        <v>852</v>
      </c>
      <c r="G222" s="1" t="s">
        <v>184</v>
      </c>
    </row>
    <row r="223" spans="1:12">
      <c r="A223" s="1" t="s">
        <v>398</v>
      </c>
      <c r="B223" s="1" t="s">
        <v>839</v>
      </c>
      <c r="C223" s="1">
        <v>7</v>
      </c>
      <c r="D223" s="1" t="s">
        <v>841</v>
      </c>
      <c r="F223" s="1" t="s">
        <v>851</v>
      </c>
    </row>
    <row r="224" spans="1:12">
      <c r="A224" s="1" t="s">
        <v>398</v>
      </c>
      <c r="B224" s="1" t="s">
        <v>839</v>
      </c>
      <c r="C224" s="1">
        <v>7</v>
      </c>
      <c r="D224" s="1" t="s">
        <v>842</v>
      </c>
      <c r="G224" s="1" t="s">
        <v>850</v>
      </c>
    </row>
    <row r="225" spans="1:10">
      <c r="A225" s="1" t="s">
        <v>398</v>
      </c>
      <c r="B225" s="1" t="s">
        <v>839</v>
      </c>
      <c r="C225" s="1">
        <v>7</v>
      </c>
      <c r="D225" s="1" t="s">
        <v>843</v>
      </c>
      <c r="G225" s="1" t="s">
        <v>847</v>
      </c>
    </row>
    <row r="226" spans="1:10">
      <c r="A226" s="1" t="s">
        <v>398</v>
      </c>
      <c r="B226" s="1" t="s">
        <v>839</v>
      </c>
      <c r="C226" s="1">
        <v>7</v>
      </c>
      <c r="D226" s="1" t="s">
        <v>844</v>
      </c>
      <c r="G226" s="1" t="s">
        <v>848</v>
      </c>
    </row>
    <row r="227" spans="1:10">
      <c r="A227" s="1" t="s">
        <v>398</v>
      </c>
      <c r="B227" s="1" t="s">
        <v>839</v>
      </c>
      <c r="C227" s="1">
        <v>7</v>
      </c>
      <c r="D227" s="1" t="s">
        <v>845</v>
      </c>
      <c r="G227" s="1" t="s">
        <v>849</v>
      </c>
    </row>
    <row r="228" spans="1:10">
      <c r="A228" s="1" t="s">
        <v>398</v>
      </c>
      <c r="B228" s="1" t="s">
        <v>839</v>
      </c>
      <c r="C228" s="1">
        <v>7</v>
      </c>
      <c r="D228" s="1" t="s">
        <v>846</v>
      </c>
      <c r="G228" s="1" t="s">
        <v>853</v>
      </c>
    </row>
    <row r="230" spans="1:10">
      <c r="A230" s="1" t="s">
        <v>33</v>
      </c>
      <c r="B230" s="1" t="s">
        <v>133</v>
      </c>
      <c r="C230" s="1">
        <v>7</v>
      </c>
      <c r="D230" s="1" t="s">
        <v>55</v>
      </c>
      <c r="E230" s="1" t="s">
        <v>50</v>
      </c>
      <c r="F230" s="1" t="s">
        <v>63</v>
      </c>
      <c r="G230" s="1" t="s">
        <v>67</v>
      </c>
      <c r="J230" s="1" t="s">
        <v>34</v>
      </c>
    </row>
    <row r="231" spans="1:10">
      <c r="A231" s="1" t="s">
        <v>33</v>
      </c>
      <c r="B231" s="1" t="s">
        <v>133</v>
      </c>
      <c r="C231" s="1">
        <v>7</v>
      </c>
      <c r="D231" s="1" t="s">
        <v>56</v>
      </c>
      <c r="E231" s="1" t="s">
        <v>50</v>
      </c>
      <c r="G231" s="1" t="s">
        <v>66</v>
      </c>
    </row>
    <row r="232" spans="1:10">
      <c r="A232" s="1" t="s">
        <v>33</v>
      </c>
      <c r="B232" s="1" t="s">
        <v>133</v>
      </c>
      <c r="C232" s="1">
        <v>7</v>
      </c>
      <c r="D232" s="1" t="s">
        <v>57</v>
      </c>
      <c r="E232" s="1" t="s">
        <v>50</v>
      </c>
      <c r="G232" s="1" t="s">
        <v>64</v>
      </c>
      <c r="J232" s="1" t="s">
        <v>65</v>
      </c>
    </row>
    <row r="233" spans="1:10">
      <c r="A233" s="1" t="s">
        <v>33</v>
      </c>
      <c r="B233" s="1" t="s">
        <v>133</v>
      </c>
      <c r="C233" s="1">
        <v>7</v>
      </c>
      <c r="D233" s="1" t="s">
        <v>59</v>
      </c>
      <c r="E233" s="1" t="s">
        <v>51</v>
      </c>
      <c r="G233" s="1" t="s">
        <v>69</v>
      </c>
    </row>
    <row r="234" spans="1:10">
      <c r="A234" s="1" t="s">
        <v>33</v>
      </c>
      <c r="B234" s="1" t="s">
        <v>133</v>
      </c>
      <c r="C234" s="1">
        <v>7</v>
      </c>
      <c r="D234" s="1" t="s">
        <v>60</v>
      </c>
      <c r="E234" s="1" t="s">
        <v>51</v>
      </c>
      <c r="G234" s="1" t="s">
        <v>69</v>
      </c>
    </row>
    <row r="235" spans="1:10">
      <c r="A235" s="1" t="s">
        <v>33</v>
      </c>
      <c r="B235" s="1" t="s">
        <v>133</v>
      </c>
      <c r="C235" s="1">
        <v>7</v>
      </c>
      <c r="D235" s="1" t="s">
        <v>61</v>
      </c>
      <c r="E235" s="1" t="s">
        <v>51</v>
      </c>
      <c r="G235" s="1" t="s">
        <v>68</v>
      </c>
    </row>
    <row r="236" spans="1:10">
      <c r="A236" s="1" t="s">
        <v>33</v>
      </c>
      <c r="B236" s="1" t="s">
        <v>133</v>
      </c>
      <c r="C236" s="1">
        <v>7</v>
      </c>
      <c r="D236" s="1" t="s">
        <v>62</v>
      </c>
      <c r="E236" s="1" t="s">
        <v>58</v>
      </c>
      <c r="G236" s="1" t="s">
        <v>71</v>
      </c>
      <c r="J236" s="1" t="s">
        <v>70</v>
      </c>
    </row>
    <row r="237" spans="1:10">
      <c r="A237" s="1" t="s">
        <v>33</v>
      </c>
      <c r="B237" s="1" t="s">
        <v>134</v>
      </c>
      <c r="C237" s="1">
        <v>5</v>
      </c>
      <c r="D237" s="1" t="s">
        <v>46</v>
      </c>
      <c r="E237" s="1" t="s">
        <v>51</v>
      </c>
      <c r="F237" s="1" t="s">
        <v>136</v>
      </c>
      <c r="J237" s="1" t="s">
        <v>35</v>
      </c>
    </row>
    <row r="238" spans="1:10">
      <c r="A238" s="1" t="s">
        <v>33</v>
      </c>
      <c r="B238" s="1" t="s">
        <v>134</v>
      </c>
      <c r="C238" s="1">
        <v>5</v>
      </c>
      <c r="D238" s="1" t="s">
        <v>42</v>
      </c>
      <c r="E238" s="1" t="s">
        <v>48</v>
      </c>
      <c r="F238" s="1" t="s">
        <v>47</v>
      </c>
      <c r="J238" s="1" t="s">
        <v>49</v>
      </c>
    </row>
    <row r="239" spans="1:10">
      <c r="A239" s="1" t="s">
        <v>33</v>
      </c>
      <c r="B239" s="1" t="s">
        <v>134</v>
      </c>
      <c r="C239" s="1">
        <v>5</v>
      </c>
      <c r="D239" s="1" t="s">
        <v>44</v>
      </c>
      <c r="E239" s="1" t="s">
        <v>48</v>
      </c>
    </row>
    <row r="240" spans="1:10">
      <c r="A240" s="1" t="s">
        <v>33</v>
      </c>
      <c r="B240" s="1" t="s">
        <v>134</v>
      </c>
      <c r="C240" s="1">
        <v>5</v>
      </c>
      <c r="D240" s="1" t="s">
        <v>43</v>
      </c>
      <c r="E240" s="1" t="s">
        <v>50</v>
      </c>
      <c r="J240" s="1" t="s">
        <v>53</v>
      </c>
    </row>
    <row r="241" spans="1:10">
      <c r="A241" s="1" t="s">
        <v>33</v>
      </c>
      <c r="B241" s="1" t="s">
        <v>134</v>
      </c>
      <c r="C241" s="1">
        <v>5</v>
      </c>
      <c r="D241" s="1" t="s">
        <v>45</v>
      </c>
      <c r="E241" s="1" t="s">
        <v>50</v>
      </c>
      <c r="G241" s="1" t="s">
        <v>54</v>
      </c>
      <c r="J241" s="1" t="s">
        <v>52</v>
      </c>
    </row>
    <row r="242" spans="1:10">
      <c r="A242" s="1" t="s">
        <v>33</v>
      </c>
      <c r="B242" s="1" t="s">
        <v>36</v>
      </c>
      <c r="C242" s="1">
        <v>3</v>
      </c>
      <c r="D242" s="1" t="s">
        <v>37</v>
      </c>
      <c r="G242" s="1" t="s">
        <v>25</v>
      </c>
    </row>
    <row r="243" spans="1:10">
      <c r="A243" s="1" t="s">
        <v>33</v>
      </c>
      <c r="B243" s="1" t="s">
        <v>36</v>
      </c>
      <c r="C243" s="1">
        <v>3</v>
      </c>
      <c r="D243" s="1" t="s">
        <v>38</v>
      </c>
      <c r="G243" s="1" t="s">
        <v>40</v>
      </c>
    </row>
    <row r="244" spans="1:10">
      <c r="A244" s="1" t="s">
        <v>33</v>
      </c>
      <c r="B244" s="1" t="s">
        <v>36</v>
      </c>
      <c r="C244" s="1">
        <v>3</v>
      </c>
      <c r="D244" s="1" t="s">
        <v>39</v>
      </c>
      <c r="G244" s="1" t="s">
        <v>41</v>
      </c>
    </row>
    <row r="246" spans="1:10">
      <c r="A246" s="1" t="s">
        <v>41</v>
      </c>
      <c r="B246" s="1" t="s">
        <v>67</v>
      </c>
      <c r="C246" s="1">
        <v>2</v>
      </c>
      <c r="D246" s="1" t="s">
        <v>312</v>
      </c>
      <c r="F246" s="1" t="s">
        <v>854</v>
      </c>
      <c r="J246" s="1" t="s">
        <v>855</v>
      </c>
    </row>
    <row r="247" spans="1:10">
      <c r="A247" s="1" t="s">
        <v>41</v>
      </c>
      <c r="B247" s="1" t="s">
        <v>67</v>
      </c>
      <c r="C247" s="1">
        <v>2</v>
      </c>
      <c r="D247" s="1" t="s">
        <v>313</v>
      </c>
    </row>
    <row r="248" spans="1:10">
      <c r="A248" s="1" t="s">
        <v>41</v>
      </c>
      <c r="B248" s="1" t="s">
        <v>317</v>
      </c>
      <c r="C248" s="1">
        <v>4</v>
      </c>
      <c r="D248" s="1" t="s">
        <v>319</v>
      </c>
      <c r="G248" s="1" t="s">
        <v>856</v>
      </c>
    </row>
    <row r="249" spans="1:10">
      <c r="A249" s="1" t="s">
        <v>41</v>
      </c>
      <c r="B249" s="1" t="s">
        <v>317</v>
      </c>
      <c r="C249" s="1">
        <v>4</v>
      </c>
      <c r="D249" s="1" t="s">
        <v>320</v>
      </c>
      <c r="G249" s="1" t="s">
        <v>140</v>
      </c>
    </row>
    <row r="250" spans="1:10">
      <c r="A250" s="1" t="s">
        <v>41</v>
      </c>
      <c r="B250" s="1" t="s">
        <v>317</v>
      </c>
      <c r="C250" s="1">
        <v>4</v>
      </c>
      <c r="D250" s="1" t="s">
        <v>321</v>
      </c>
      <c r="G250" s="1" t="s">
        <v>88</v>
      </c>
    </row>
    <row r="251" spans="1:10">
      <c r="A251" s="1" t="s">
        <v>41</v>
      </c>
      <c r="B251" s="1" t="s">
        <v>317</v>
      </c>
      <c r="C251" s="1">
        <v>4</v>
      </c>
      <c r="D251" s="1" t="s">
        <v>315</v>
      </c>
      <c r="G251" s="1" t="s">
        <v>857</v>
      </c>
      <c r="J251" s="1" t="s">
        <v>318</v>
      </c>
    </row>
    <row r="252" spans="1:10">
      <c r="A252" s="1" t="s">
        <v>41</v>
      </c>
      <c r="B252" s="1" t="s">
        <v>322</v>
      </c>
      <c r="C252" s="1">
        <v>4</v>
      </c>
      <c r="D252" s="1" t="s">
        <v>328</v>
      </c>
      <c r="G252" s="1" t="s">
        <v>858</v>
      </c>
    </row>
    <row r="253" spans="1:10">
      <c r="A253" s="1" t="s">
        <v>41</v>
      </c>
      <c r="B253" s="1" t="s">
        <v>322</v>
      </c>
      <c r="C253" s="1">
        <v>4</v>
      </c>
      <c r="D253" s="1" t="s">
        <v>327</v>
      </c>
      <c r="G253" s="1" t="s">
        <v>859</v>
      </c>
    </row>
    <row r="254" spans="1:10">
      <c r="A254" s="1" t="s">
        <v>41</v>
      </c>
      <c r="B254" s="1" t="s">
        <v>322</v>
      </c>
      <c r="C254" s="1">
        <v>4</v>
      </c>
      <c r="D254" s="1" t="s">
        <v>326</v>
      </c>
      <c r="G254" s="1" t="s">
        <v>140</v>
      </c>
    </row>
    <row r="255" spans="1:10">
      <c r="A255" s="1" t="s">
        <v>41</v>
      </c>
      <c r="B255" s="1" t="s">
        <v>322</v>
      </c>
      <c r="C255" s="1">
        <v>4</v>
      </c>
      <c r="D255" s="1" t="s">
        <v>325</v>
      </c>
      <c r="G255" s="1" t="s">
        <v>860</v>
      </c>
    </row>
    <row r="256" spans="1:10">
      <c r="A256" s="1" t="s">
        <v>41</v>
      </c>
      <c r="B256" s="1" t="s">
        <v>147</v>
      </c>
      <c r="C256" s="1">
        <v>6</v>
      </c>
      <c r="D256" s="1" t="s">
        <v>336</v>
      </c>
      <c r="G256" s="1" t="s">
        <v>345</v>
      </c>
      <c r="J256" s="1" t="s">
        <v>373</v>
      </c>
    </row>
    <row r="257" spans="1:10">
      <c r="A257" s="1" t="s">
        <v>41</v>
      </c>
      <c r="B257" s="1" t="s">
        <v>147</v>
      </c>
      <c r="C257" s="1">
        <v>6</v>
      </c>
      <c r="D257" s="1" t="s">
        <v>333</v>
      </c>
      <c r="G257" s="1" t="s">
        <v>293</v>
      </c>
    </row>
    <row r="258" spans="1:10">
      <c r="A258" s="1" t="s">
        <v>41</v>
      </c>
      <c r="B258" s="1" t="s">
        <v>147</v>
      </c>
      <c r="C258" s="1">
        <v>6</v>
      </c>
      <c r="D258" s="1" t="s">
        <v>332</v>
      </c>
      <c r="G258" s="1" t="s">
        <v>134</v>
      </c>
      <c r="J258" s="1" t="s">
        <v>861</v>
      </c>
    </row>
    <row r="259" spans="1:10">
      <c r="A259" s="1" t="s">
        <v>41</v>
      </c>
      <c r="B259" s="1" t="s">
        <v>147</v>
      </c>
      <c r="C259" s="1">
        <v>6</v>
      </c>
      <c r="D259" s="1" t="s">
        <v>334</v>
      </c>
      <c r="G259" s="1" t="s">
        <v>140</v>
      </c>
      <c r="J259" s="1" t="s">
        <v>862</v>
      </c>
    </row>
    <row r="260" spans="1:10">
      <c r="A260" s="1" t="s">
        <v>41</v>
      </c>
      <c r="B260" s="1" t="s">
        <v>147</v>
      </c>
      <c r="C260" s="1">
        <v>6</v>
      </c>
      <c r="D260" s="1" t="s">
        <v>335</v>
      </c>
      <c r="F260" s="1" t="s">
        <v>864</v>
      </c>
      <c r="G260" s="1" t="s">
        <v>799</v>
      </c>
      <c r="J260" s="1" t="s">
        <v>863</v>
      </c>
    </row>
    <row r="261" spans="1:10">
      <c r="A261" s="1" t="s">
        <v>41</v>
      </c>
      <c r="B261" s="1" t="s">
        <v>147</v>
      </c>
      <c r="C261" s="1">
        <v>6</v>
      </c>
      <c r="D261" s="1" t="s">
        <v>337</v>
      </c>
      <c r="G261" s="1" t="s">
        <v>546</v>
      </c>
    </row>
    <row r="263" spans="1:10">
      <c r="A263" s="1" t="s">
        <v>127</v>
      </c>
      <c r="B263" s="1" t="s">
        <v>314</v>
      </c>
      <c r="C263" s="1">
        <v>8</v>
      </c>
      <c r="D263" s="1" t="s">
        <v>869</v>
      </c>
      <c r="E263" s="1" t="s">
        <v>891</v>
      </c>
      <c r="J263" s="1" t="s">
        <v>592</v>
      </c>
    </row>
    <row r="264" spans="1:10">
      <c r="A264" s="1" t="s">
        <v>127</v>
      </c>
      <c r="B264" s="1" t="s">
        <v>314</v>
      </c>
      <c r="C264" s="1">
        <v>8</v>
      </c>
      <c r="D264" s="1" t="s">
        <v>870</v>
      </c>
      <c r="E264" s="1" t="s">
        <v>891</v>
      </c>
    </row>
    <row r="265" spans="1:10">
      <c r="A265" s="1" t="s">
        <v>127</v>
      </c>
      <c r="B265" s="1" t="s">
        <v>314</v>
      </c>
      <c r="C265" s="1">
        <v>8</v>
      </c>
      <c r="D265" s="1" t="s">
        <v>866</v>
      </c>
      <c r="E265" s="1" t="s">
        <v>893</v>
      </c>
      <c r="G265" s="1" t="s">
        <v>892</v>
      </c>
    </row>
    <row r="266" spans="1:10">
      <c r="A266" s="1" t="s">
        <v>127</v>
      </c>
      <c r="B266" s="1" t="s">
        <v>314</v>
      </c>
      <c r="C266" s="1">
        <v>8</v>
      </c>
      <c r="D266" s="1" t="s">
        <v>871</v>
      </c>
      <c r="E266" s="1" t="s">
        <v>893</v>
      </c>
    </row>
    <row r="267" spans="1:10">
      <c r="A267" s="1" t="s">
        <v>127</v>
      </c>
      <c r="B267" s="1" t="s">
        <v>314</v>
      </c>
      <c r="C267" s="1">
        <v>8</v>
      </c>
      <c r="D267" s="1" t="s">
        <v>872</v>
      </c>
      <c r="E267" s="1" t="s">
        <v>890</v>
      </c>
      <c r="G267" s="1" t="s">
        <v>894</v>
      </c>
      <c r="J267" s="1" t="s">
        <v>182</v>
      </c>
    </row>
    <row r="268" spans="1:10">
      <c r="A268" s="1" t="s">
        <v>127</v>
      </c>
      <c r="B268" s="1" t="s">
        <v>314</v>
      </c>
      <c r="C268" s="1">
        <v>8</v>
      </c>
      <c r="D268" s="1" t="s">
        <v>868</v>
      </c>
      <c r="E268" s="1" t="s">
        <v>890</v>
      </c>
    </row>
    <row r="269" spans="1:10">
      <c r="A269" s="1" t="s">
        <v>127</v>
      </c>
      <c r="B269" s="1" t="s">
        <v>314</v>
      </c>
      <c r="C269" s="1">
        <v>8</v>
      </c>
      <c r="D269" s="1" t="s">
        <v>865</v>
      </c>
      <c r="E269" s="1" t="s">
        <v>215</v>
      </c>
      <c r="G269" s="1" t="s">
        <v>293</v>
      </c>
      <c r="J269" s="1" t="s">
        <v>889</v>
      </c>
    </row>
    <row r="270" spans="1:10">
      <c r="A270" s="1" t="s">
        <v>127</v>
      </c>
      <c r="B270" s="1" t="s">
        <v>314</v>
      </c>
      <c r="C270" s="1">
        <v>8</v>
      </c>
      <c r="D270" s="1" t="s">
        <v>867</v>
      </c>
      <c r="E270" s="1" t="s">
        <v>215</v>
      </c>
    </row>
    <row r="271" spans="1:10">
      <c r="A271" s="1" t="s">
        <v>127</v>
      </c>
      <c r="B271" s="1" t="s">
        <v>897</v>
      </c>
      <c r="C271" s="1">
        <v>7</v>
      </c>
      <c r="D271" s="1" t="s">
        <v>882</v>
      </c>
      <c r="J271" s="1" t="s">
        <v>906</v>
      </c>
    </row>
    <row r="272" spans="1:10">
      <c r="A272" s="1" t="s">
        <v>127</v>
      </c>
      <c r="B272" s="1" t="s">
        <v>897</v>
      </c>
      <c r="C272" s="1">
        <v>7</v>
      </c>
      <c r="D272" s="1" t="s">
        <v>883</v>
      </c>
      <c r="G272" s="1" t="s">
        <v>859</v>
      </c>
    </row>
    <row r="273" spans="1:10">
      <c r="A273" s="1" t="s">
        <v>127</v>
      </c>
      <c r="B273" s="1" t="s">
        <v>897</v>
      </c>
      <c r="C273" s="1">
        <v>7</v>
      </c>
      <c r="D273" s="1" t="s">
        <v>884</v>
      </c>
      <c r="G273" s="1" t="s">
        <v>859</v>
      </c>
    </row>
    <row r="274" spans="1:10">
      <c r="A274" s="1" t="s">
        <v>127</v>
      </c>
      <c r="B274" s="1" t="s">
        <v>897</v>
      </c>
      <c r="C274" s="1">
        <v>7</v>
      </c>
      <c r="D274" s="1" t="s">
        <v>878</v>
      </c>
      <c r="F274" s="1" t="s">
        <v>90</v>
      </c>
      <c r="G274" s="1" t="s">
        <v>899</v>
      </c>
      <c r="J274" s="1" t="s">
        <v>900</v>
      </c>
    </row>
    <row r="275" spans="1:10">
      <c r="A275" s="1" t="s">
        <v>127</v>
      </c>
      <c r="B275" s="1" t="s">
        <v>897</v>
      </c>
      <c r="C275" s="1">
        <v>7</v>
      </c>
      <c r="D275" s="1" t="s">
        <v>879</v>
      </c>
    </row>
    <row r="276" spans="1:10">
      <c r="A276" s="1" t="s">
        <v>127</v>
      </c>
      <c r="B276" s="1" t="s">
        <v>897</v>
      </c>
      <c r="C276" s="1">
        <v>7</v>
      </c>
      <c r="D276" s="1" t="s">
        <v>880</v>
      </c>
      <c r="G276" s="1" t="s">
        <v>901</v>
      </c>
    </row>
    <row r="277" spans="1:10">
      <c r="A277" s="1" t="s">
        <v>127</v>
      </c>
      <c r="B277" s="1" t="s">
        <v>897</v>
      </c>
      <c r="C277" s="1">
        <v>7</v>
      </c>
      <c r="D277" s="1" t="s">
        <v>881</v>
      </c>
      <c r="F277" s="1" t="s">
        <v>902</v>
      </c>
      <c r="G277" s="1" t="s">
        <v>903</v>
      </c>
    </row>
    <row r="278" spans="1:10">
      <c r="A278" s="1" t="s">
        <v>127</v>
      </c>
      <c r="B278" s="1" t="s">
        <v>433</v>
      </c>
      <c r="C278" s="1">
        <v>6</v>
      </c>
      <c r="D278" s="1" t="s">
        <v>873</v>
      </c>
    </row>
    <row r="279" spans="1:10">
      <c r="A279" s="1" t="s">
        <v>127</v>
      </c>
      <c r="B279" s="1" t="s">
        <v>433</v>
      </c>
      <c r="C279" s="1">
        <v>6</v>
      </c>
      <c r="D279" s="1" t="s">
        <v>874</v>
      </c>
    </row>
    <row r="280" spans="1:10">
      <c r="A280" s="1" t="s">
        <v>127</v>
      </c>
      <c r="B280" s="1" t="s">
        <v>433</v>
      </c>
      <c r="C280" s="1">
        <v>6</v>
      </c>
      <c r="D280" s="1" t="s">
        <v>875</v>
      </c>
    </row>
    <row r="281" spans="1:10">
      <c r="A281" s="1" t="s">
        <v>127</v>
      </c>
      <c r="B281" s="1" t="s">
        <v>433</v>
      </c>
      <c r="C281" s="1">
        <v>6</v>
      </c>
      <c r="D281" s="1" t="s">
        <v>876</v>
      </c>
    </row>
    <row r="282" spans="1:10">
      <c r="A282" s="1" t="s">
        <v>127</v>
      </c>
      <c r="B282" s="1" t="s">
        <v>433</v>
      </c>
      <c r="C282" s="1">
        <v>6</v>
      </c>
      <c r="D282" s="1" t="s">
        <v>877</v>
      </c>
      <c r="G282" s="1" t="s">
        <v>896</v>
      </c>
      <c r="J282" s="1" t="s">
        <v>882</v>
      </c>
    </row>
    <row r="283" spans="1:10">
      <c r="A283" s="1" t="s">
        <v>127</v>
      </c>
      <c r="B283" s="1" t="s">
        <v>433</v>
      </c>
      <c r="C283" s="1">
        <v>6</v>
      </c>
      <c r="D283" s="1" t="s">
        <v>895</v>
      </c>
    </row>
    <row r="284" spans="1:10">
      <c r="A284" s="1" t="s">
        <v>127</v>
      </c>
      <c r="B284" s="1" t="s">
        <v>435</v>
      </c>
      <c r="C284" s="1">
        <v>4</v>
      </c>
      <c r="D284" s="1" t="s">
        <v>886</v>
      </c>
      <c r="E284" s="1" t="s">
        <v>908</v>
      </c>
      <c r="J284" s="1" t="s">
        <v>898</v>
      </c>
    </row>
    <row r="285" spans="1:10">
      <c r="A285" s="1" t="s">
        <v>127</v>
      </c>
      <c r="B285" s="1" t="s">
        <v>435</v>
      </c>
      <c r="C285" s="1">
        <v>4</v>
      </c>
      <c r="D285" s="1" t="s">
        <v>887</v>
      </c>
      <c r="E285" s="1" t="s">
        <v>908</v>
      </c>
    </row>
    <row r="286" spans="1:10">
      <c r="A286" s="1" t="s">
        <v>127</v>
      </c>
      <c r="B286" s="1" t="s">
        <v>435</v>
      </c>
      <c r="C286" s="1">
        <v>4</v>
      </c>
      <c r="D286" s="1" t="s">
        <v>885</v>
      </c>
      <c r="E286" s="1" t="s">
        <v>907</v>
      </c>
    </row>
    <row r="287" spans="1:10">
      <c r="A287" s="1" t="s">
        <v>127</v>
      </c>
      <c r="B287" s="1" t="s">
        <v>435</v>
      </c>
      <c r="C287" s="1">
        <v>4</v>
      </c>
      <c r="D287" s="1" t="s">
        <v>888</v>
      </c>
      <c r="E287" s="1" t="s">
        <v>907</v>
      </c>
    </row>
    <row r="289" spans="1:10">
      <c r="A289" s="1" t="s">
        <v>427</v>
      </c>
      <c r="B289" s="1" t="s">
        <v>133</v>
      </c>
      <c r="C289" s="1">
        <v>5</v>
      </c>
      <c r="D289" s="1" t="s">
        <v>913</v>
      </c>
      <c r="E289" s="1" t="s">
        <v>84</v>
      </c>
    </row>
    <row r="290" spans="1:10">
      <c r="A290" s="1" t="s">
        <v>427</v>
      </c>
      <c r="B290" s="1" t="s">
        <v>133</v>
      </c>
      <c r="C290" s="1">
        <v>5</v>
      </c>
      <c r="D290" s="1" t="s">
        <v>909</v>
      </c>
      <c r="E290" s="1" t="s">
        <v>84</v>
      </c>
      <c r="G290" s="1" t="s">
        <v>949</v>
      </c>
    </row>
    <row r="291" spans="1:10">
      <c r="A291" s="1" t="s">
        <v>427</v>
      </c>
      <c r="B291" s="1" t="s">
        <v>133</v>
      </c>
      <c r="C291" s="1">
        <v>5</v>
      </c>
      <c r="D291" s="1" t="s">
        <v>910</v>
      </c>
    </row>
    <row r="292" spans="1:10">
      <c r="A292" s="1" t="s">
        <v>427</v>
      </c>
      <c r="B292" s="1" t="s">
        <v>133</v>
      </c>
      <c r="C292" s="1">
        <v>5</v>
      </c>
      <c r="D292" s="1" t="s">
        <v>911</v>
      </c>
      <c r="G292" s="1" t="s">
        <v>948</v>
      </c>
    </row>
    <row r="293" spans="1:10">
      <c r="A293" s="1" t="s">
        <v>427</v>
      </c>
      <c r="B293" s="1" t="s">
        <v>133</v>
      </c>
      <c r="C293" s="1">
        <v>5</v>
      </c>
      <c r="D293" s="1" t="s">
        <v>912</v>
      </c>
    </row>
    <row r="294" spans="1:10">
      <c r="A294" s="1" t="s">
        <v>427</v>
      </c>
      <c r="B294" s="1" t="s">
        <v>134</v>
      </c>
      <c r="C294" s="1">
        <v>11</v>
      </c>
      <c r="D294" s="1" t="s">
        <v>914</v>
      </c>
      <c r="F294" s="1" t="s">
        <v>891</v>
      </c>
      <c r="J294" s="1" t="s">
        <v>924</v>
      </c>
    </row>
    <row r="295" spans="1:10">
      <c r="A295" s="1" t="s">
        <v>427</v>
      </c>
      <c r="B295" s="1" t="s">
        <v>134</v>
      </c>
      <c r="C295" s="1">
        <v>11</v>
      </c>
      <c r="D295" s="1" t="s">
        <v>922</v>
      </c>
      <c r="F295" s="1" t="s">
        <v>891</v>
      </c>
    </row>
    <row r="296" spans="1:10">
      <c r="A296" s="1" t="s">
        <v>427</v>
      </c>
      <c r="B296" s="1" t="s">
        <v>134</v>
      </c>
      <c r="C296" s="1">
        <v>11</v>
      </c>
      <c r="D296" s="1" t="s">
        <v>923</v>
      </c>
      <c r="G296" s="1" t="s">
        <v>821</v>
      </c>
    </row>
    <row r="297" spans="1:10">
      <c r="A297" s="1" t="s">
        <v>427</v>
      </c>
      <c r="B297" s="1" t="s">
        <v>134</v>
      </c>
      <c r="C297" s="1">
        <v>11</v>
      </c>
      <c r="D297" s="1" t="s">
        <v>921</v>
      </c>
      <c r="F297" s="1" t="s">
        <v>820</v>
      </c>
    </row>
    <row r="298" spans="1:10">
      <c r="A298" s="1" t="s">
        <v>427</v>
      </c>
      <c r="B298" s="1" t="s">
        <v>134</v>
      </c>
      <c r="C298" s="1">
        <v>11</v>
      </c>
      <c r="D298" s="1" t="s">
        <v>920</v>
      </c>
      <c r="F298" s="1" t="s">
        <v>820</v>
      </c>
    </row>
    <row r="299" spans="1:10">
      <c r="A299" s="1" t="s">
        <v>427</v>
      </c>
      <c r="B299" s="1" t="s">
        <v>134</v>
      </c>
      <c r="C299" s="1">
        <v>11</v>
      </c>
      <c r="D299" s="1" t="s">
        <v>915</v>
      </c>
      <c r="F299" s="1" t="s">
        <v>182</v>
      </c>
      <c r="G299" s="1" t="s">
        <v>925</v>
      </c>
      <c r="J299" s="1" t="s">
        <v>926</v>
      </c>
    </row>
    <row r="300" spans="1:10">
      <c r="A300" s="1" t="s">
        <v>427</v>
      </c>
      <c r="B300" s="1" t="s">
        <v>134</v>
      </c>
      <c r="C300" s="1">
        <v>11</v>
      </c>
      <c r="D300" s="1" t="s">
        <v>916</v>
      </c>
      <c r="F300" s="1" t="s">
        <v>491</v>
      </c>
      <c r="G300" s="1" t="s">
        <v>273</v>
      </c>
    </row>
    <row r="301" spans="1:10">
      <c r="A301" s="1" t="s">
        <v>427</v>
      </c>
      <c r="B301" s="1" t="s">
        <v>134</v>
      </c>
      <c r="C301" s="1">
        <v>11</v>
      </c>
      <c r="D301" s="1" t="s">
        <v>917</v>
      </c>
      <c r="F301" s="1" t="s">
        <v>190</v>
      </c>
      <c r="G301" s="1" t="s">
        <v>273</v>
      </c>
    </row>
    <row r="302" spans="1:10">
      <c r="A302" s="1" t="s">
        <v>427</v>
      </c>
      <c r="B302" s="1" t="s">
        <v>134</v>
      </c>
      <c r="C302" s="1">
        <v>11</v>
      </c>
      <c r="D302" s="1" t="s">
        <v>918</v>
      </c>
      <c r="G302" s="1" t="s">
        <v>928</v>
      </c>
    </row>
    <row r="303" spans="1:10">
      <c r="A303" s="1" t="s">
        <v>427</v>
      </c>
      <c r="B303" s="1" t="s">
        <v>134</v>
      </c>
      <c r="C303" s="1">
        <v>11</v>
      </c>
      <c r="D303" s="1" t="s">
        <v>927</v>
      </c>
    </row>
    <row r="304" spans="1:10">
      <c r="A304" s="1" t="s">
        <v>427</v>
      </c>
      <c r="B304" s="1" t="s">
        <v>134</v>
      </c>
      <c r="C304" s="1">
        <v>11</v>
      </c>
      <c r="D304" s="1" t="s">
        <v>919</v>
      </c>
      <c r="F304" s="1" t="s">
        <v>929</v>
      </c>
      <c r="G304" s="1" t="s">
        <v>766</v>
      </c>
    </row>
    <row r="305" spans="1:10">
      <c r="A305" s="1" t="s">
        <v>427</v>
      </c>
      <c r="B305" s="1" t="s">
        <v>939</v>
      </c>
      <c r="C305" s="1">
        <v>9</v>
      </c>
      <c r="D305" s="1" t="s">
        <v>930</v>
      </c>
      <c r="E305" s="1" t="s">
        <v>766</v>
      </c>
      <c r="J305" s="1" t="s">
        <v>940</v>
      </c>
    </row>
    <row r="306" spans="1:10">
      <c r="A306" s="1" t="s">
        <v>427</v>
      </c>
      <c r="B306" s="1" t="s">
        <v>939</v>
      </c>
      <c r="C306" s="1">
        <v>9</v>
      </c>
      <c r="D306" s="1" t="s">
        <v>931</v>
      </c>
      <c r="E306" s="1" t="s">
        <v>766</v>
      </c>
    </row>
    <row r="307" spans="1:10">
      <c r="A307" s="1" t="s">
        <v>427</v>
      </c>
      <c r="B307" s="1" t="s">
        <v>939</v>
      </c>
      <c r="C307" s="1">
        <v>9</v>
      </c>
      <c r="D307" s="1" t="s">
        <v>933</v>
      </c>
      <c r="E307" s="1" t="s">
        <v>26</v>
      </c>
      <c r="G307" s="1" t="s">
        <v>21</v>
      </c>
    </row>
    <row r="308" spans="1:10">
      <c r="A308" s="1" t="s">
        <v>427</v>
      </c>
      <c r="B308" s="1" t="s">
        <v>939</v>
      </c>
      <c r="C308" s="1">
        <v>9</v>
      </c>
      <c r="D308" s="1" t="s">
        <v>932</v>
      </c>
      <c r="E308" s="1" t="s">
        <v>26</v>
      </c>
      <c r="G308" s="1" t="s">
        <v>22</v>
      </c>
    </row>
    <row r="309" spans="1:10">
      <c r="A309" s="1" t="s">
        <v>427</v>
      </c>
      <c r="B309" s="1" t="s">
        <v>939</v>
      </c>
      <c r="C309" s="1">
        <v>9</v>
      </c>
      <c r="D309" s="1" t="s">
        <v>934</v>
      </c>
      <c r="E309" s="1" t="s">
        <v>26</v>
      </c>
      <c r="G309" s="1" t="s">
        <v>22</v>
      </c>
    </row>
    <row r="310" spans="1:10">
      <c r="A310" s="1" t="s">
        <v>427</v>
      </c>
      <c r="B310" s="1" t="s">
        <v>939</v>
      </c>
      <c r="C310" s="1">
        <v>9</v>
      </c>
      <c r="D310" s="1" t="s">
        <v>935</v>
      </c>
      <c r="E310" s="1" t="s">
        <v>941</v>
      </c>
      <c r="G310" s="1" t="s">
        <v>891</v>
      </c>
      <c r="J310" s="1" t="s">
        <v>947</v>
      </c>
    </row>
    <row r="311" spans="1:10">
      <c r="A311" s="1" t="s">
        <v>427</v>
      </c>
      <c r="B311" s="1" t="s">
        <v>939</v>
      </c>
      <c r="C311" s="1">
        <v>9</v>
      </c>
      <c r="D311" s="1" t="s">
        <v>936</v>
      </c>
      <c r="E311" s="1" t="s">
        <v>941</v>
      </c>
      <c r="G311" s="1" t="s">
        <v>891</v>
      </c>
    </row>
    <row r="312" spans="1:10">
      <c r="A312" s="1" t="s">
        <v>427</v>
      </c>
      <c r="B312" s="1" t="s">
        <v>939</v>
      </c>
      <c r="C312" s="1">
        <v>9</v>
      </c>
      <c r="D312" s="1" t="s">
        <v>937</v>
      </c>
      <c r="E312" s="1" t="s">
        <v>942</v>
      </c>
      <c r="F312" s="1" t="s">
        <v>946</v>
      </c>
      <c r="G312" s="1" t="s">
        <v>945</v>
      </c>
    </row>
    <row r="313" spans="1:10">
      <c r="A313" s="1" t="s">
        <v>427</v>
      </c>
      <c r="B313" s="1" t="s">
        <v>939</v>
      </c>
      <c r="C313" s="1">
        <v>9</v>
      </c>
      <c r="D313" s="1" t="s">
        <v>938</v>
      </c>
      <c r="E313" s="1" t="s">
        <v>943</v>
      </c>
      <c r="G313" s="1" t="s">
        <v>944</v>
      </c>
    </row>
    <row r="316" spans="1:10">
      <c r="A316" s="1" t="s">
        <v>91</v>
      </c>
      <c r="B316" s="1" t="s">
        <v>92</v>
      </c>
      <c r="C316" s="1">
        <v>3</v>
      </c>
      <c r="D316" s="1" t="s">
        <v>95</v>
      </c>
      <c r="F316" s="1" t="s">
        <v>450</v>
      </c>
      <c r="G316" s="1" t="s">
        <v>22</v>
      </c>
      <c r="J316" s="1" t="s">
        <v>297</v>
      </c>
    </row>
    <row r="317" spans="1:10">
      <c r="A317" s="1" t="s">
        <v>91</v>
      </c>
      <c r="B317" s="1" t="s">
        <v>92</v>
      </c>
      <c r="C317" s="1">
        <v>3</v>
      </c>
      <c r="D317" s="1" t="s">
        <v>96</v>
      </c>
    </row>
    <row r="318" spans="1:10">
      <c r="A318" s="1" t="s">
        <v>91</v>
      </c>
      <c r="B318" s="1" t="s">
        <v>92</v>
      </c>
      <c r="C318" s="1">
        <v>3</v>
      </c>
      <c r="D318" s="1" t="s">
        <v>97</v>
      </c>
      <c r="G318" s="1" t="s">
        <v>952</v>
      </c>
      <c r="J318" s="1" t="s">
        <v>137</v>
      </c>
    </row>
    <row r="319" spans="1:10">
      <c r="A319" s="1" t="s">
        <v>91</v>
      </c>
      <c r="B319" s="1" t="s">
        <v>93</v>
      </c>
      <c r="C319" s="1">
        <v>6</v>
      </c>
      <c r="D319" s="1" t="s">
        <v>98</v>
      </c>
      <c r="E319" s="1" t="s">
        <v>103</v>
      </c>
      <c r="G319" s="1" t="s">
        <v>36</v>
      </c>
      <c r="J319" s="1" t="s">
        <v>953</v>
      </c>
    </row>
    <row r="320" spans="1:10">
      <c r="A320" s="1" t="s">
        <v>91</v>
      </c>
      <c r="B320" s="1" t="s">
        <v>93</v>
      </c>
      <c r="C320" s="1">
        <v>6</v>
      </c>
      <c r="D320" s="1" t="s">
        <v>99</v>
      </c>
      <c r="E320" s="1" t="s">
        <v>103</v>
      </c>
      <c r="G320" s="1" t="s">
        <v>80</v>
      </c>
    </row>
    <row r="321" spans="1:11">
      <c r="A321" s="1" t="s">
        <v>91</v>
      </c>
      <c r="B321" s="1" t="s">
        <v>93</v>
      </c>
      <c r="C321" s="1">
        <v>6</v>
      </c>
      <c r="D321" s="1" t="s">
        <v>100</v>
      </c>
      <c r="E321" s="1">
        <v>1</v>
      </c>
      <c r="G321" s="1" t="s">
        <v>119</v>
      </c>
    </row>
    <row r="322" spans="1:11">
      <c r="A322" s="1" t="s">
        <v>91</v>
      </c>
      <c r="B322" s="1" t="s">
        <v>93</v>
      </c>
      <c r="C322" s="1">
        <v>6</v>
      </c>
      <c r="D322" s="1" t="s">
        <v>138</v>
      </c>
      <c r="E322" s="1">
        <v>2</v>
      </c>
      <c r="G322" s="1" t="s">
        <v>120</v>
      </c>
    </row>
    <row r="323" spans="1:11">
      <c r="A323" s="1" t="s">
        <v>91</v>
      </c>
      <c r="B323" s="1" t="s">
        <v>93</v>
      </c>
      <c r="C323" s="1">
        <v>6</v>
      </c>
      <c r="D323" s="1" t="s">
        <v>101</v>
      </c>
      <c r="E323" s="1">
        <v>3</v>
      </c>
      <c r="G323" s="1" t="s">
        <v>121</v>
      </c>
      <c r="J323" s="1" t="s">
        <v>139</v>
      </c>
    </row>
    <row r="324" spans="1:11">
      <c r="A324" s="1" t="s">
        <v>91</v>
      </c>
      <c r="B324" s="1" t="s">
        <v>93</v>
      </c>
      <c r="C324" s="1">
        <v>6</v>
      </c>
      <c r="D324" s="1" t="s">
        <v>102</v>
      </c>
      <c r="E324" s="1">
        <v>4</v>
      </c>
      <c r="G324" s="1" t="s">
        <v>292</v>
      </c>
    </row>
    <row r="325" spans="1:11">
      <c r="A325" s="1" t="s">
        <v>91</v>
      </c>
      <c r="B325" s="1" t="s">
        <v>94</v>
      </c>
      <c r="C325" s="1">
        <v>10</v>
      </c>
      <c r="D325" s="1" t="s">
        <v>104</v>
      </c>
      <c r="E325" s="1" t="s">
        <v>107</v>
      </c>
      <c r="F325" s="1" t="s">
        <v>118</v>
      </c>
      <c r="G325" s="1" t="s">
        <v>697</v>
      </c>
    </row>
    <row r="326" spans="1:11">
      <c r="A326" s="1" t="s">
        <v>91</v>
      </c>
      <c r="B326" s="1" t="s">
        <v>94</v>
      </c>
      <c r="C326" s="1">
        <v>10</v>
      </c>
      <c r="D326" s="1" t="s">
        <v>106</v>
      </c>
      <c r="E326" s="1" t="s">
        <v>107</v>
      </c>
      <c r="F326" s="1" t="s">
        <v>90</v>
      </c>
      <c r="G326" s="1" t="s">
        <v>122</v>
      </c>
      <c r="J326" s="1" t="s">
        <v>128</v>
      </c>
    </row>
    <row r="327" spans="1:11">
      <c r="A327" s="1" t="s">
        <v>91</v>
      </c>
      <c r="B327" s="1" t="s">
        <v>94</v>
      </c>
      <c r="C327" s="1">
        <v>10</v>
      </c>
      <c r="D327" s="1" t="s">
        <v>105</v>
      </c>
      <c r="E327" s="1" t="s">
        <v>107</v>
      </c>
      <c r="F327" s="1" t="s">
        <v>954</v>
      </c>
      <c r="G327" s="1" t="s">
        <v>798</v>
      </c>
      <c r="J327" s="1" t="s">
        <v>129</v>
      </c>
    </row>
    <row r="328" spans="1:11">
      <c r="A328" s="1" t="s">
        <v>91</v>
      </c>
      <c r="B328" s="1" t="s">
        <v>94</v>
      </c>
      <c r="C328" s="1">
        <v>10</v>
      </c>
      <c r="D328" s="1" t="s">
        <v>113</v>
      </c>
      <c r="E328" s="1" t="s">
        <v>108</v>
      </c>
      <c r="G328" s="1" t="s">
        <v>130</v>
      </c>
    </row>
    <row r="329" spans="1:11">
      <c r="A329" s="1" t="s">
        <v>91</v>
      </c>
      <c r="B329" s="1" t="s">
        <v>94</v>
      </c>
      <c r="C329" s="1">
        <v>10</v>
      </c>
      <c r="D329" s="1" t="s">
        <v>114</v>
      </c>
      <c r="E329" s="1" t="s">
        <v>108</v>
      </c>
      <c r="F329" s="1" t="s">
        <v>955</v>
      </c>
      <c r="G329" s="1" t="s">
        <v>132</v>
      </c>
      <c r="J329" s="1" t="s">
        <v>131</v>
      </c>
    </row>
    <row r="330" spans="1:11">
      <c r="A330" s="1" t="s">
        <v>91</v>
      </c>
      <c r="B330" s="1" t="s">
        <v>94</v>
      </c>
      <c r="C330" s="1">
        <v>10</v>
      </c>
      <c r="D330" s="1" t="s">
        <v>115</v>
      </c>
      <c r="E330" s="1" t="s">
        <v>108</v>
      </c>
      <c r="F330" s="1" t="s">
        <v>955</v>
      </c>
      <c r="G330" s="1" t="s">
        <v>21</v>
      </c>
    </row>
    <row r="331" spans="1:11">
      <c r="A331" s="1" t="s">
        <v>91</v>
      </c>
      <c r="B331" s="1" t="s">
        <v>94</v>
      </c>
      <c r="C331" s="1">
        <v>10</v>
      </c>
      <c r="D331" s="1" t="s">
        <v>110</v>
      </c>
      <c r="E331" s="1" t="s">
        <v>109</v>
      </c>
      <c r="G331" s="1" t="s">
        <v>124</v>
      </c>
    </row>
    <row r="332" spans="1:11">
      <c r="A332" s="1" t="s">
        <v>91</v>
      </c>
      <c r="B332" s="1" t="s">
        <v>94</v>
      </c>
      <c r="C332" s="1">
        <v>10</v>
      </c>
      <c r="D332" s="1" t="s">
        <v>111</v>
      </c>
      <c r="E332" s="1" t="s">
        <v>109</v>
      </c>
      <c r="G332" s="1" t="s">
        <v>125</v>
      </c>
    </row>
    <row r="333" spans="1:11">
      <c r="A333" s="1" t="s">
        <v>91</v>
      </c>
      <c r="B333" s="1" t="s">
        <v>94</v>
      </c>
      <c r="C333" s="1">
        <v>10</v>
      </c>
      <c r="D333" s="1" t="s">
        <v>112</v>
      </c>
      <c r="E333" s="1" t="s">
        <v>109</v>
      </c>
      <c r="G333" s="1" t="s">
        <v>126</v>
      </c>
      <c r="J333" s="1" t="s">
        <v>127</v>
      </c>
    </row>
    <row r="334" spans="1:11" ht="34.799999999999997">
      <c r="A334" s="1" t="s">
        <v>91</v>
      </c>
      <c r="B334" s="1" t="s">
        <v>94</v>
      </c>
      <c r="C334" s="1">
        <v>10</v>
      </c>
      <c r="D334" s="1" t="s">
        <v>116</v>
      </c>
      <c r="E334" s="1" t="s">
        <v>117</v>
      </c>
      <c r="F334" s="1" t="s">
        <v>956</v>
      </c>
      <c r="G334" s="1" t="s">
        <v>123</v>
      </c>
      <c r="J334" s="2" t="s">
        <v>957</v>
      </c>
      <c r="K334" s="1" t="s">
        <v>295</v>
      </c>
    </row>
    <row r="336" spans="1:11">
      <c r="A336" s="1" t="s">
        <v>396</v>
      </c>
      <c r="D336" s="1" t="s">
        <v>958</v>
      </c>
      <c r="G336" s="1" t="s">
        <v>965</v>
      </c>
    </row>
    <row r="337" spans="1:7">
      <c r="A337" s="1" t="s">
        <v>396</v>
      </c>
      <c r="D337" s="1" t="s">
        <v>959</v>
      </c>
    </row>
    <row r="338" spans="1:7">
      <c r="A338" s="1" t="s">
        <v>396</v>
      </c>
      <c r="D338" s="1" t="s">
        <v>960</v>
      </c>
      <c r="E338" s="1" t="s">
        <v>81</v>
      </c>
      <c r="G338" s="1" t="s">
        <v>966</v>
      </c>
    </row>
    <row r="339" spans="1:7">
      <c r="A339" s="1" t="s">
        <v>396</v>
      </c>
      <c r="D339" s="1" t="s">
        <v>961</v>
      </c>
      <c r="E339" s="1" t="s">
        <v>81</v>
      </c>
      <c r="G339" s="1" t="s">
        <v>966</v>
      </c>
    </row>
    <row r="340" spans="1:7">
      <c r="A340" s="1" t="s">
        <v>396</v>
      </c>
      <c r="D340" s="1" t="s">
        <v>962</v>
      </c>
      <c r="G340" s="1" t="s">
        <v>964</v>
      </c>
    </row>
    <row r="341" spans="1:7">
      <c r="A341" s="1" t="s">
        <v>396</v>
      </c>
      <c r="D341" s="1" t="s">
        <v>963</v>
      </c>
      <c r="F341" s="1" t="s">
        <v>90</v>
      </c>
      <c r="G341" s="1" t="s">
        <v>697</v>
      </c>
    </row>
    <row r="374" spans="1:10">
      <c r="A374" s="1" t="s">
        <v>41</v>
      </c>
      <c r="B374" s="1" t="s">
        <v>67</v>
      </c>
      <c r="D374" s="1" t="s">
        <v>313</v>
      </c>
    </row>
    <row r="375" spans="1:10">
      <c r="A375" s="1" t="s">
        <v>41</v>
      </c>
      <c r="B375" s="1" t="s">
        <v>67</v>
      </c>
      <c r="D375" s="1" t="s">
        <v>312</v>
      </c>
      <c r="G375" s="1" t="s">
        <v>314</v>
      </c>
      <c r="J375" s="1" t="s">
        <v>324</v>
      </c>
    </row>
    <row r="376" spans="1:10">
      <c r="A376" s="1" t="s">
        <v>41</v>
      </c>
      <c r="B376" s="1" t="s">
        <v>317</v>
      </c>
      <c r="D376" s="1" t="s">
        <v>315</v>
      </c>
      <c r="F376" s="1" t="s">
        <v>316</v>
      </c>
      <c r="J376" s="1" t="s">
        <v>318</v>
      </c>
    </row>
    <row r="377" spans="1:10">
      <c r="A377" s="1" t="s">
        <v>41</v>
      </c>
      <c r="B377" s="1" t="s">
        <v>317</v>
      </c>
      <c r="D377" s="1" t="s">
        <v>319</v>
      </c>
      <c r="G377" s="1" t="s">
        <v>393</v>
      </c>
      <c r="J377" s="1" t="s">
        <v>323</v>
      </c>
    </row>
    <row r="378" spans="1:10">
      <c r="A378" s="1" t="s">
        <v>41</v>
      </c>
      <c r="B378" s="1" t="s">
        <v>317</v>
      </c>
      <c r="D378" s="1" t="s">
        <v>320</v>
      </c>
      <c r="G378" s="1" t="s">
        <v>394</v>
      </c>
    </row>
    <row r="379" spans="1:10">
      <c r="A379" s="1" t="s">
        <v>41</v>
      </c>
      <c r="B379" s="1" t="s">
        <v>317</v>
      </c>
      <c r="D379" s="1" t="s">
        <v>321</v>
      </c>
    </row>
    <row r="380" spans="1:10">
      <c r="A380" s="1" t="s">
        <v>41</v>
      </c>
      <c r="B380" s="1" t="s">
        <v>322</v>
      </c>
      <c r="D380" s="1" t="s">
        <v>325</v>
      </c>
      <c r="F380" s="1" t="s">
        <v>346</v>
      </c>
      <c r="G380" s="1" t="s">
        <v>331</v>
      </c>
    </row>
    <row r="381" spans="1:10">
      <c r="A381" s="1" t="s">
        <v>41</v>
      </c>
      <c r="B381" s="1" t="s">
        <v>322</v>
      </c>
      <c r="D381" s="1" t="s">
        <v>326</v>
      </c>
      <c r="G381" s="1" t="s">
        <v>392</v>
      </c>
    </row>
    <row r="382" spans="1:10">
      <c r="A382" s="1" t="s">
        <v>41</v>
      </c>
      <c r="B382" s="1" t="s">
        <v>322</v>
      </c>
      <c r="D382" s="1" t="s">
        <v>327</v>
      </c>
      <c r="G382" s="1" t="s">
        <v>329</v>
      </c>
    </row>
    <row r="383" spans="1:10">
      <c r="A383" s="1" t="s">
        <v>41</v>
      </c>
      <c r="B383" s="1" t="s">
        <v>322</v>
      </c>
      <c r="D383" s="1" t="s">
        <v>328</v>
      </c>
      <c r="G383" s="1" t="s">
        <v>330</v>
      </c>
    </row>
    <row r="384" spans="1:10">
      <c r="A384" s="1" t="s">
        <v>41</v>
      </c>
      <c r="B384" s="1" t="s">
        <v>147</v>
      </c>
      <c r="D384" s="1" t="s">
        <v>332</v>
      </c>
      <c r="E384" s="1" t="s">
        <v>348</v>
      </c>
      <c r="F384" s="1" t="s">
        <v>339</v>
      </c>
      <c r="G384" s="1" t="s">
        <v>340</v>
      </c>
      <c r="I384" s="1" t="s">
        <v>342</v>
      </c>
    </row>
    <row r="385" spans="1:10">
      <c r="A385" s="1" t="s">
        <v>41</v>
      </c>
      <c r="B385" s="1" t="s">
        <v>147</v>
      </c>
      <c r="D385" s="1" t="s">
        <v>333</v>
      </c>
      <c r="E385" s="1" t="s">
        <v>348</v>
      </c>
      <c r="F385" s="1" t="s">
        <v>338</v>
      </c>
      <c r="G385" s="1" t="s">
        <v>134</v>
      </c>
      <c r="J385" s="1" t="s">
        <v>341</v>
      </c>
    </row>
    <row r="386" spans="1:10">
      <c r="A386" s="1" t="s">
        <v>41</v>
      </c>
      <c r="B386" s="1" t="s">
        <v>147</v>
      </c>
      <c r="D386" s="1" t="s">
        <v>334</v>
      </c>
      <c r="E386" s="1" t="s">
        <v>347</v>
      </c>
      <c r="G386" s="1" t="s">
        <v>343</v>
      </c>
      <c r="J386" s="1" t="s">
        <v>344</v>
      </c>
    </row>
    <row r="387" spans="1:10">
      <c r="A387" s="1" t="s">
        <v>41</v>
      </c>
      <c r="B387" s="1" t="s">
        <v>147</v>
      </c>
      <c r="D387" s="1" t="s">
        <v>335</v>
      </c>
      <c r="E387" s="1" t="s">
        <v>347</v>
      </c>
      <c r="G387" s="1" t="s">
        <v>395</v>
      </c>
    </row>
    <row r="388" spans="1:10">
      <c r="A388" s="1" t="s">
        <v>41</v>
      </c>
      <c r="B388" s="1" t="s">
        <v>147</v>
      </c>
      <c r="D388" s="1" t="s">
        <v>336</v>
      </c>
      <c r="E388" s="1" t="s">
        <v>347</v>
      </c>
      <c r="G388" s="1" t="s">
        <v>345</v>
      </c>
    </row>
    <row r="389" spans="1:10">
      <c r="A389" s="1" t="s">
        <v>41</v>
      </c>
      <c r="B389" s="1" t="s">
        <v>147</v>
      </c>
      <c r="D389" s="1" t="s">
        <v>337</v>
      </c>
      <c r="E389" s="1" t="s">
        <v>347</v>
      </c>
      <c r="G389" s="1" t="s">
        <v>183</v>
      </c>
    </row>
  </sheetData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F33E3-6E34-4A0F-8A7A-BC6069320D6E}">
  <sheetPr codeName="Sheet2"/>
  <dimension ref="A1:W58"/>
  <sheetViews>
    <sheetView zoomScaleNormal="100" workbookViewId="0">
      <pane ySplit="1" topLeftCell="A2" activePane="bottomLeft" state="frozen"/>
      <selection pane="bottomLeft" activeCell="I16" sqref="I16"/>
    </sheetView>
  </sheetViews>
  <sheetFormatPr defaultColWidth="5.25" defaultRowHeight="17.399999999999999"/>
  <cols>
    <col min="1" max="1" width="5.25" style="1"/>
    <col min="2" max="2" width="11.25" style="1" bestFit="1" customWidth="1"/>
    <col min="3" max="3" width="5.25" style="1"/>
    <col min="4" max="4" width="11.25" style="1" bestFit="1" customWidth="1"/>
    <col min="5" max="5" width="4.4140625" style="1" customWidth="1"/>
    <col min="6" max="6" width="24.25" style="1" bestFit="1" customWidth="1"/>
    <col min="7" max="7" width="22.83203125" style="1" bestFit="1" customWidth="1"/>
    <col min="8" max="8" width="5.25" style="1"/>
    <col min="9" max="9" width="16.1640625" style="1" customWidth="1"/>
    <col min="10" max="10" width="11.58203125" style="1" customWidth="1"/>
    <col min="11" max="16" width="5.25" style="1"/>
    <col min="18" max="22" width="5.25" style="1"/>
    <col min="23" max="23" width="6" style="1" bestFit="1" customWidth="1"/>
    <col min="24" max="16384" width="5.25" style="1"/>
  </cols>
  <sheetData>
    <row r="1" spans="1:23">
      <c r="A1" s="1" t="s">
        <v>687</v>
      </c>
      <c r="C1" s="1" t="s">
        <v>688</v>
      </c>
    </row>
    <row r="2" spans="1:23">
      <c r="A2" s="1">
        <v>1</v>
      </c>
      <c r="B2" s="1" t="s">
        <v>417</v>
      </c>
      <c r="C2" s="1">
        <v>4</v>
      </c>
      <c r="F2" s="1" t="s">
        <v>689</v>
      </c>
      <c r="G2" s="1" t="s">
        <v>690</v>
      </c>
      <c r="I2" s="1" t="s">
        <v>698</v>
      </c>
      <c r="J2" s="1" t="s">
        <v>699</v>
      </c>
      <c r="W2" s="1">
        <f>IF(ISBLANK(B2),,IF(ISBLANK(D2),1,0))</f>
        <v>1</v>
      </c>
    </row>
    <row r="3" spans="1:23">
      <c r="A3" s="1">
        <v>2</v>
      </c>
      <c r="B3" s="1" t="s">
        <v>302</v>
      </c>
      <c r="C3" s="1">
        <v>5</v>
      </c>
      <c r="F3" s="1" t="s">
        <v>443</v>
      </c>
      <c r="W3" s="1">
        <f>IF(ISBLANK(B3),,IF(ISBLANK(D3),1,0))</f>
        <v>1</v>
      </c>
    </row>
    <row r="4" spans="1:23">
      <c r="A4" s="1">
        <v>3</v>
      </c>
      <c r="B4" s="1" t="s">
        <v>280</v>
      </c>
      <c r="C4" s="1">
        <v>6</v>
      </c>
      <c r="F4" s="1" t="s">
        <v>444</v>
      </c>
      <c r="W4" s="1">
        <f t="shared" ref="W4" si="0">IF(ISBLANK(B4),,IF(ISBLANK(D4),1,0))</f>
        <v>1</v>
      </c>
    </row>
    <row r="5" spans="1:23">
      <c r="A5" s="1">
        <v>4</v>
      </c>
      <c r="B5" s="1" t="s">
        <v>72</v>
      </c>
      <c r="C5" s="1">
        <v>7</v>
      </c>
      <c r="F5" s="1" t="s">
        <v>453</v>
      </c>
      <c r="G5" s="1" t="s">
        <v>454</v>
      </c>
      <c r="W5" s="1">
        <f t="shared" ref="W5:W12" si="1">IF(ISBLANK(B5),,IF(ISBLANK(D5),1,0))</f>
        <v>1</v>
      </c>
    </row>
    <row r="6" spans="1:23">
      <c r="A6" s="1">
        <v>5</v>
      </c>
      <c r="B6" s="1" t="s">
        <v>223</v>
      </c>
      <c r="C6" s="1">
        <v>8</v>
      </c>
      <c r="F6" s="1" t="s">
        <v>446</v>
      </c>
      <c r="G6" s="1" t="s">
        <v>447</v>
      </c>
      <c r="W6" s="1">
        <f t="shared" si="1"/>
        <v>1</v>
      </c>
    </row>
    <row r="7" spans="1:23">
      <c r="A7" s="1">
        <v>6</v>
      </c>
      <c r="B7" s="1" t="s">
        <v>143</v>
      </c>
      <c r="C7" s="1">
        <v>50</v>
      </c>
      <c r="W7" s="1">
        <f t="shared" si="1"/>
        <v>1</v>
      </c>
    </row>
    <row r="8" spans="1:23">
      <c r="A8" s="1">
        <v>6</v>
      </c>
      <c r="B8" s="1" t="s">
        <v>143</v>
      </c>
      <c r="C8" s="1">
        <v>50</v>
      </c>
      <c r="D8" s="1" t="s">
        <v>145</v>
      </c>
      <c r="E8" s="1">
        <v>5</v>
      </c>
      <c r="F8" s="1" t="s">
        <v>465</v>
      </c>
      <c r="I8" s="1" t="s">
        <v>711</v>
      </c>
      <c r="W8" s="1">
        <f t="shared" si="1"/>
        <v>0</v>
      </c>
    </row>
    <row r="9" spans="1:23">
      <c r="A9" s="1">
        <v>6</v>
      </c>
      <c r="B9" s="1" t="s">
        <v>143</v>
      </c>
      <c r="C9" s="1">
        <v>50</v>
      </c>
      <c r="D9" s="1" t="s">
        <v>147</v>
      </c>
      <c r="E9" s="1">
        <v>6</v>
      </c>
      <c r="F9" s="1" t="s">
        <v>466</v>
      </c>
      <c r="G9" s="1" t="s">
        <v>467</v>
      </c>
      <c r="W9" s="1">
        <f t="shared" si="1"/>
        <v>0</v>
      </c>
    </row>
    <row r="10" spans="1:23">
      <c r="A10" s="1">
        <v>6</v>
      </c>
      <c r="B10" s="1" t="s">
        <v>143</v>
      </c>
      <c r="C10" s="1">
        <v>50</v>
      </c>
      <c r="D10" s="1" t="s">
        <v>81</v>
      </c>
      <c r="E10" s="1">
        <v>7</v>
      </c>
      <c r="F10" s="1" t="s">
        <v>468</v>
      </c>
      <c r="W10" s="1">
        <f t="shared" si="1"/>
        <v>0</v>
      </c>
    </row>
    <row r="11" spans="1:23">
      <c r="A11" s="1">
        <v>6</v>
      </c>
      <c r="B11" s="1" t="s">
        <v>143</v>
      </c>
      <c r="C11" s="1">
        <v>50</v>
      </c>
      <c r="D11" s="1" t="s">
        <v>144</v>
      </c>
      <c r="E11" s="1">
        <v>8</v>
      </c>
      <c r="F11" s="1" t="s">
        <v>469</v>
      </c>
      <c r="W11" s="1">
        <f t="shared" si="1"/>
        <v>0</v>
      </c>
    </row>
    <row r="12" spans="1:23" ht="69.599999999999994">
      <c r="A12" s="1">
        <v>6</v>
      </c>
      <c r="B12" s="1" t="s">
        <v>143</v>
      </c>
      <c r="C12" s="1">
        <v>50</v>
      </c>
      <c r="D12" s="1" t="s">
        <v>148</v>
      </c>
      <c r="E12" s="1">
        <v>9</v>
      </c>
      <c r="F12" s="2" t="s">
        <v>470</v>
      </c>
      <c r="W12" s="1">
        <f t="shared" si="1"/>
        <v>0</v>
      </c>
    </row>
    <row r="13" spans="1:23">
      <c r="A13" s="1">
        <v>7</v>
      </c>
      <c r="B13" s="1" t="s">
        <v>139</v>
      </c>
      <c r="C13" s="1">
        <v>9</v>
      </c>
      <c r="I13" s="1" t="s">
        <v>967</v>
      </c>
      <c r="W13" s="1">
        <f t="shared" ref="W13:W28" si="2">IF(ISBLANK(B13),,IF(ISBLANK(D13),1,0))</f>
        <v>1</v>
      </c>
    </row>
    <row r="14" spans="1:23">
      <c r="A14" s="1">
        <v>7</v>
      </c>
      <c r="B14" s="1" t="s">
        <v>139</v>
      </c>
      <c r="C14" s="1">
        <v>9</v>
      </c>
      <c r="D14" s="1" t="s">
        <v>424</v>
      </c>
      <c r="E14" s="1">
        <v>4</v>
      </c>
      <c r="F14" s="1" t="s">
        <v>426</v>
      </c>
      <c r="I14" s="1" t="s">
        <v>544</v>
      </c>
      <c r="W14" s="1">
        <f t="shared" si="2"/>
        <v>0</v>
      </c>
    </row>
    <row r="15" spans="1:23">
      <c r="A15" s="1">
        <v>7</v>
      </c>
      <c r="B15" s="1" t="s">
        <v>139</v>
      </c>
      <c r="C15" s="1">
        <v>9</v>
      </c>
      <c r="D15" s="1" t="s">
        <v>425</v>
      </c>
      <c r="E15" s="1">
        <v>5</v>
      </c>
      <c r="F15" s="1" t="s">
        <v>717</v>
      </c>
      <c r="G15" s="1" t="s">
        <v>718</v>
      </c>
      <c r="I15" s="1" t="s">
        <v>145</v>
      </c>
      <c r="W15" s="1">
        <f t="shared" si="2"/>
        <v>0</v>
      </c>
    </row>
    <row r="16" spans="1:23">
      <c r="A16" s="1">
        <v>8</v>
      </c>
      <c r="B16" s="1" t="s">
        <v>66</v>
      </c>
      <c r="C16" s="1">
        <v>23</v>
      </c>
      <c r="W16" s="1">
        <f t="shared" si="2"/>
        <v>1</v>
      </c>
    </row>
    <row r="17" spans="1:23" ht="34.799999999999997">
      <c r="A17" s="1">
        <v>8</v>
      </c>
      <c r="B17" s="1" t="s">
        <v>66</v>
      </c>
      <c r="C17" s="1">
        <v>23</v>
      </c>
      <c r="D17" s="1" t="s">
        <v>133</v>
      </c>
      <c r="E17" s="1">
        <v>13</v>
      </c>
      <c r="F17" s="2" t="s">
        <v>462</v>
      </c>
      <c r="W17" s="1">
        <f t="shared" si="2"/>
        <v>0</v>
      </c>
    </row>
    <row r="18" spans="1:23">
      <c r="A18" s="1">
        <v>8</v>
      </c>
      <c r="B18" s="1" t="s">
        <v>66</v>
      </c>
      <c r="C18" s="1">
        <v>23</v>
      </c>
      <c r="D18" s="1" t="s">
        <v>134</v>
      </c>
      <c r="E18" s="1">
        <v>10</v>
      </c>
      <c r="F18" s="1" t="s">
        <v>463</v>
      </c>
      <c r="G18" s="1" t="s">
        <v>464</v>
      </c>
      <c r="W18" s="1">
        <f t="shared" si="2"/>
        <v>0</v>
      </c>
    </row>
    <row r="19" spans="1:23">
      <c r="A19" s="1">
        <v>9</v>
      </c>
      <c r="B19" s="1" t="s">
        <v>407</v>
      </c>
      <c r="C19" s="1">
        <v>46</v>
      </c>
      <c r="W19" s="1">
        <f>IF(ISBLANK(B19),,IF(ISBLANK(D19),1,0))</f>
        <v>1</v>
      </c>
    </row>
    <row r="20" spans="1:23">
      <c r="A20" s="1">
        <v>9</v>
      </c>
      <c r="B20" s="1" t="s">
        <v>407</v>
      </c>
      <c r="C20" s="1">
        <v>46</v>
      </c>
      <c r="D20" s="1" t="s">
        <v>88</v>
      </c>
      <c r="E20" s="1">
        <v>11</v>
      </c>
      <c r="F20" s="1" t="s">
        <v>411</v>
      </c>
      <c r="W20" s="1">
        <f>IF(ISBLANK(B20),,IF(ISBLANK(D20),1,0))</f>
        <v>0</v>
      </c>
    </row>
    <row r="21" spans="1:23">
      <c r="A21" s="1">
        <v>9</v>
      </c>
      <c r="B21" s="1" t="s">
        <v>407</v>
      </c>
      <c r="C21" s="1">
        <v>46</v>
      </c>
      <c r="D21" s="1" t="s">
        <v>184</v>
      </c>
      <c r="E21" s="1">
        <v>6</v>
      </c>
      <c r="F21" s="1" t="s">
        <v>414</v>
      </c>
      <c r="W21" s="1">
        <f>IF(ISBLANK(B21),,IF(ISBLANK(D21),1,0))</f>
        <v>0</v>
      </c>
    </row>
    <row r="22" spans="1:23">
      <c r="A22" s="1">
        <v>9</v>
      </c>
      <c r="B22" s="1" t="s">
        <v>407</v>
      </c>
      <c r="C22" s="1">
        <v>46</v>
      </c>
      <c r="D22" s="1" t="s">
        <v>409</v>
      </c>
      <c r="E22" s="1">
        <v>14</v>
      </c>
      <c r="F22" s="1" t="s">
        <v>415</v>
      </c>
      <c r="G22" s="1" t="s">
        <v>416</v>
      </c>
      <c r="W22" s="1">
        <f>IF(ISBLANK(B22),,IF(ISBLANK(D22),1,0))</f>
        <v>0</v>
      </c>
    </row>
    <row r="23" spans="1:23" ht="52.2">
      <c r="A23" s="1">
        <v>9</v>
      </c>
      <c r="B23" s="1" t="s">
        <v>407</v>
      </c>
      <c r="C23" s="1">
        <v>46</v>
      </c>
      <c r="D23" s="1" t="s">
        <v>410</v>
      </c>
      <c r="E23" s="1">
        <v>15</v>
      </c>
      <c r="F23" s="2" t="s">
        <v>413</v>
      </c>
      <c r="G23" s="2" t="s">
        <v>412</v>
      </c>
      <c r="W23" s="1">
        <f>IF(ISBLANK(B23),,IF(ISBLANK(D23),1,0))</f>
        <v>0</v>
      </c>
    </row>
    <row r="24" spans="1:23">
      <c r="A24" s="1">
        <v>10</v>
      </c>
      <c r="B24" s="1" t="s">
        <v>32</v>
      </c>
      <c r="C24" s="1">
        <v>12</v>
      </c>
      <c r="W24" s="1">
        <f t="shared" si="2"/>
        <v>1</v>
      </c>
    </row>
    <row r="25" spans="1:23">
      <c r="A25" s="1">
        <v>10</v>
      </c>
      <c r="B25" s="1" t="s">
        <v>32</v>
      </c>
      <c r="C25" s="1">
        <v>12</v>
      </c>
      <c r="D25" s="1" t="s">
        <v>6</v>
      </c>
      <c r="E25" s="1">
        <v>3</v>
      </c>
      <c r="W25" s="1">
        <f t="shared" si="2"/>
        <v>0</v>
      </c>
    </row>
    <row r="26" spans="1:23">
      <c r="A26" s="1">
        <v>10</v>
      </c>
      <c r="B26" s="1" t="s">
        <v>32</v>
      </c>
      <c r="C26" s="1">
        <v>12</v>
      </c>
      <c r="D26" s="1" t="s">
        <v>1</v>
      </c>
      <c r="E26" s="1">
        <v>4</v>
      </c>
      <c r="F26" s="1" t="s">
        <v>461</v>
      </c>
      <c r="W26" s="1">
        <f t="shared" si="2"/>
        <v>0</v>
      </c>
    </row>
    <row r="27" spans="1:23">
      <c r="A27" s="1">
        <v>10</v>
      </c>
      <c r="B27" s="1" t="s">
        <v>32</v>
      </c>
      <c r="C27" s="1">
        <v>12</v>
      </c>
      <c r="D27" s="1" t="s">
        <v>10</v>
      </c>
      <c r="E27" s="1">
        <v>5</v>
      </c>
      <c r="F27" s="1" t="s">
        <v>460</v>
      </c>
      <c r="W27" s="1">
        <f t="shared" si="2"/>
        <v>0</v>
      </c>
    </row>
    <row r="28" spans="1:23">
      <c r="A28" s="1">
        <v>11</v>
      </c>
      <c r="B28" s="1" t="s">
        <v>247</v>
      </c>
      <c r="C28" s="1">
        <v>13</v>
      </c>
      <c r="F28" s="1" t="s">
        <v>445</v>
      </c>
      <c r="W28" s="1">
        <f t="shared" si="2"/>
        <v>1</v>
      </c>
    </row>
    <row r="29" spans="1:23">
      <c r="A29" s="1">
        <v>12</v>
      </c>
      <c r="B29" s="1" t="s">
        <v>418</v>
      </c>
      <c r="C29" s="1">
        <v>15</v>
      </c>
      <c r="W29" s="1">
        <f t="shared" ref="W29:W53" si="3">IF(ISBLANK(B29),,IF(ISBLANK(D29),1,0))</f>
        <v>1</v>
      </c>
    </row>
    <row r="30" spans="1:23">
      <c r="A30" s="1">
        <v>12</v>
      </c>
      <c r="B30" s="1" t="s">
        <v>418</v>
      </c>
      <c r="C30" s="1">
        <v>15</v>
      </c>
      <c r="D30" s="1" t="s">
        <v>419</v>
      </c>
      <c r="E30" s="1">
        <v>6</v>
      </c>
      <c r="F30" s="1" t="s">
        <v>420</v>
      </c>
      <c r="G30" s="1" t="s">
        <v>421</v>
      </c>
      <c r="I30" s="1" t="s">
        <v>1717</v>
      </c>
      <c r="W30" s="1">
        <f t="shared" si="3"/>
        <v>0</v>
      </c>
    </row>
    <row r="31" spans="1:23" ht="34.799999999999997">
      <c r="A31" s="1">
        <v>12</v>
      </c>
      <c r="B31" s="1" t="s">
        <v>418</v>
      </c>
      <c r="C31" s="1">
        <v>15</v>
      </c>
      <c r="D31" s="1" t="s">
        <v>422</v>
      </c>
      <c r="E31" s="1">
        <v>9</v>
      </c>
      <c r="F31" s="2" t="s">
        <v>423</v>
      </c>
      <c r="W31" s="1">
        <f t="shared" si="3"/>
        <v>0</v>
      </c>
    </row>
    <row r="32" spans="1:23">
      <c r="A32" s="1">
        <v>13</v>
      </c>
      <c r="B32" s="1" t="s">
        <v>398</v>
      </c>
      <c r="C32" s="1">
        <v>15</v>
      </c>
      <c r="F32" s="1" t="s">
        <v>408</v>
      </c>
      <c r="W32" s="1">
        <f t="shared" si="3"/>
        <v>1</v>
      </c>
    </row>
    <row r="33" spans="1:23">
      <c r="A33" s="1">
        <v>13</v>
      </c>
      <c r="B33" s="1" t="s">
        <v>398</v>
      </c>
      <c r="C33" s="1">
        <v>15</v>
      </c>
      <c r="D33" s="1" t="s">
        <v>399</v>
      </c>
      <c r="E33" s="1">
        <v>2</v>
      </c>
      <c r="F33" s="1" t="s">
        <v>400</v>
      </c>
      <c r="W33" s="1">
        <f t="shared" si="3"/>
        <v>0</v>
      </c>
    </row>
    <row r="34" spans="1:23">
      <c r="A34" s="1">
        <v>13</v>
      </c>
      <c r="B34" s="1" t="s">
        <v>398</v>
      </c>
      <c r="C34" s="1">
        <v>15</v>
      </c>
      <c r="D34" s="1" t="s">
        <v>401</v>
      </c>
      <c r="E34" s="1">
        <v>6</v>
      </c>
      <c r="F34" s="1" t="s">
        <v>402</v>
      </c>
      <c r="G34" s="1" t="s">
        <v>403</v>
      </c>
      <c r="W34" s="1">
        <f t="shared" si="3"/>
        <v>0</v>
      </c>
    </row>
    <row r="35" spans="1:23">
      <c r="A35" s="1">
        <v>13</v>
      </c>
      <c r="B35" s="1" t="s">
        <v>398</v>
      </c>
      <c r="C35" s="1">
        <v>15</v>
      </c>
      <c r="D35" s="1" t="s">
        <v>404</v>
      </c>
      <c r="E35" s="1">
        <v>7</v>
      </c>
      <c r="F35" s="1" t="s">
        <v>406</v>
      </c>
      <c r="G35" s="1" t="s">
        <v>405</v>
      </c>
      <c r="W35" s="1">
        <f t="shared" si="3"/>
        <v>0</v>
      </c>
    </row>
    <row r="36" spans="1:23">
      <c r="A36" s="1">
        <v>14</v>
      </c>
      <c r="B36" s="1" t="s">
        <v>33</v>
      </c>
      <c r="C36" s="1">
        <v>15</v>
      </c>
      <c r="F36" s="1" t="s">
        <v>471</v>
      </c>
      <c r="W36" s="1">
        <f t="shared" si="3"/>
        <v>1</v>
      </c>
    </row>
    <row r="37" spans="1:23">
      <c r="A37" s="1">
        <v>14</v>
      </c>
      <c r="B37" s="1" t="s">
        <v>33</v>
      </c>
      <c r="C37" s="1">
        <v>15</v>
      </c>
      <c r="D37" s="1" t="s">
        <v>36</v>
      </c>
      <c r="E37" s="1">
        <v>3</v>
      </c>
      <c r="F37" s="1" t="s">
        <v>455</v>
      </c>
      <c r="W37" s="1">
        <f t="shared" si="3"/>
        <v>0</v>
      </c>
    </row>
    <row r="38" spans="1:23">
      <c r="A38" s="1">
        <v>14</v>
      </c>
      <c r="B38" s="1" t="s">
        <v>33</v>
      </c>
      <c r="C38" s="1">
        <v>15</v>
      </c>
      <c r="D38" s="1" t="s">
        <v>133</v>
      </c>
      <c r="E38" s="1">
        <v>7</v>
      </c>
      <c r="F38" s="1" t="s">
        <v>456</v>
      </c>
      <c r="G38" s="1" t="s">
        <v>457</v>
      </c>
      <c r="W38" s="1">
        <f t="shared" si="3"/>
        <v>0</v>
      </c>
    </row>
    <row r="39" spans="1:23">
      <c r="A39" s="1">
        <v>14</v>
      </c>
      <c r="B39" s="1" t="s">
        <v>33</v>
      </c>
      <c r="C39" s="1">
        <v>15</v>
      </c>
      <c r="D39" s="1" t="s">
        <v>134</v>
      </c>
      <c r="E39" s="1">
        <v>5</v>
      </c>
      <c r="F39" s="1" t="s">
        <v>458</v>
      </c>
      <c r="G39" s="1" t="s">
        <v>459</v>
      </c>
      <c r="W39" s="1">
        <f t="shared" si="3"/>
        <v>0</v>
      </c>
    </row>
    <row r="40" spans="1:23">
      <c r="A40" s="1">
        <v>15</v>
      </c>
      <c r="B40" s="1" t="s">
        <v>41</v>
      </c>
      <c r="C40" s="1">
        <v>16</v>
      </c>
      <c r="F40" s="1" t="s">
        <v>438</v>
      </c>
      <c r="W40" s="1">
        <f t="shared" si="3"/>
        <v>1</v>
      </c>
    </row>
    <row r="41" spans="1:23">
      <c r="A41" s="1">
        <v>15</v>
      </c>
      <c r="B41" s="1" t="s">
        <v>41</v>
      </c>
      <c r="C41" s="1">
        <v>16</v>
      </c>
      <c r="D41" s="1" t="s">
        <v>67</v>
      </c>
      <c r="E41" s="1">
        <v>2</v>
      </c>
      <c r="W41" s="1">
        <f t="shared" si="3"/>
        <v>0</v>
      </c>
    </row>
    <row r="42" spans="1:23">
      <c r="A42" s="1">
        <v>15</v>
      </c>
      <c r="B42" s="1" t="s">
        <v>41</v>
      </c>
      <c r="C42" s="1">
        <v>16</v>
      </c>
      <c r="D42" s="1" t="s">
        <v>317</v>
      </c>
      <c r="E42" s="1">
        <v>4</v>
      </c>
      <c r="F42" s="1" t="s">
        <v>474</v>
      </c>
      <c r="G42" s="1" t="s">
        <v>475</v>
      </c>
      <c r="W42" s="1">
        <f t="shared" si="3"/>
        <v>0</v>
      </c>
    </row>
    <row r="43" spans="1:23">
      <c r="A43" s="1">
        <v>15</v>
      </c>
      <c r="B43" s="1" t="s">
        <v>41</v>
      </c>
      <c r="C43" s="1">
        <v>16</v>
      </c>
      <c r="D43" s="1" t="s">
        <v>322</v>
      </c>
      <c r="E43" s="1">
        <v>4</v>
      </c>
      <c r="F43" s="1" t="s">
        <v>441</v>
      </c>
      <c r="W43" s="1">
        <f t="shared" si="3"/>
        <v>0</v>
      </c>
    </row>
    <row r="44" spans="1:23">
      <c r="A44" s="1">
        <v>15</v>
      </c>
      <c r="B44" s="1" t="s">
        <v>41</v>
      </c>
      <c r="C44" s="1">
        <v>16</v>
      </c>
      <c r="D44" s="1" t="s">
        <v>147</v>
      </c>
      <c r="E44" s="1">
        <v>6</v>
      </c>
      <c r="F44" s="1" t="s">
        <v>439</v>
      </c>
      <c r="G44" s="1" t="s">
        <v>440</v>
      </c>
      <c r="W44" s="1">
        <f t="shared" si="3"/>
        <v>0</v>
      </c>
    </row>
    <row r="45" spans="1:23">
      <c r="A45" s="1">
        <v>16</v>
      </c>
      <c r="B45" s="1" t="s">
        <v>127</v>
      </c>
      <c r="C45" s="1">
        <v>25</v>
      </c>
      <c r="F45" s="1" t="s">
        <v>442</v>
      </c>
      <c r="W45" s="1">
        <f t="shared" si="3"/>
        <v>1</v>
      </c>
    </row>
    <row r="46" spans="1:23">
      <c r="A46" s="1">
        <v>16</v>
      </c>
      <c r="B46" s="1" t="s">
        <v>127</v>
      </c>
      <c r="C46" s="1">
        <v>25</v>
      </c>
      <c r="D46" s="1" t="s">
        <v>314</v>
      </c>
      <c r="E46" s="1">
        <v>8</v>
      </c>
      <c r="F46" s="1" t="s">
        <v>432</v>
      </c>
      <c r="W46" s="1">
        <f t="shared" si="3"/>
        <v>0</v>
      </c>
    </row>
    <row r="47" spans="1:23">
      <c r="A47" s="1">
        <v>16</v>
      </c>
      <c r="B47" s="1" t="s">
        <v>127</v>
      </c>
      <c r="C47" s="1">
        <v>25</v>
      </c>
      <c r="D47" s="1" t="s">
        <v>433</v>
      </c>
      <c r="E47" s="1">
        <v>6</v>
      </c>
      <c r="F47" s="1" t="s">
        <v>434</v>
      </c>
      <c r="W47" s="1">
        <f t="shared" si="3"/>
        <v>0</v>
      </c>
    </row>
    <row r="48" spans="1:23">
      <c r="A48" s="1">
        <v>16</v>
      </c>
      <c r="B48" s="1" t="s">
        <v>127</v>
      </c>
      <c r="C48" s="1">
        <v>25</v>
      </c>
      <c r="D48" s="1" t="s">
        <v>50</v>
      </c>
      <c r="E48" s="1">
        <v>7</v>
      </c>
      <c r="F48" s="1" t="s">
        <v>905</v>
      </c>
      <c r="G48" s="1" t="s">
        <v>904</v>
      </c>
      <c r="W48" s="1">
        <f t="shared" si="3"/>
        <v>0</v>
      </c>
    </row>
    <row r="49" spans="1:23">
      <c r="A49" s="1">
        <v>16</v>
      </c>
      <c r="B49" s="1" t="s">
        <v>127</v>
      </c>
      <c r="C49" s="1">
        <v>25</v>
      </c>
      <c r="D49" s="1" t="s">
        <v>435</v>
      </c>
      <c r="E49" s="1">
        <v>4</v>
      </c>
      <c r="F49" s="1" t="s">
        <v>436</v>
      </c>
      <c r="G49" s="1" t="s">
        <v>437</v>
      </c>
      <c r="W49" s="1">
        <f t="shared" si="3"/>
        <v>0</v>
      </c>
    </row>
    <row r="50" spans="1:23">
      <c r="A50" s="1">
        <v>17</v>
      </c>
      <c r="B50" s="1" t="s">
        <v>427</v>
      </c>
      <c r="C50" s="1">
        <v>25</v>
      </c>
      <c r="F50" s="1" t="s">
        <v>472</v>
      </c>
      <c r="W50" s="1">
        <f t="shared" si="3"/>
        <v>1</v>
      </c>
    </row>
    <row r="51" spans="1:23">
      <c r="A51" s="1">
        <v>17</v>
      </c>
      <c r="B51" s="1" t="s">
        <v>427</v>
      </c>
      <c r="C51" s="1">
        <v>25</v>
      </c>
      <c r="D51" s="1" t="s">
        <v>133</v>
      </c>
      <c r="E51" s="1">
        <v>5</v>
      </c>
      <c r="F51" s="1" t="s">
        <v>429</v>
      </c>
      <c r="W51" s="1">
        <f t="shared" si="3"/>
        <v>0</v>
      </c>
    </row>
    <row r="52" spans="1:23" ht="34.799999999999997">
      <c r="A52" s="1">
        <v>17</v>
      </c>
      <c r="B52" s="1" t="s">
        <v>427</v>
      </c>
      <c r="C52" s="1">
        <v>25</v>
      </c>
      <c r="D52" s="1" t="s">
        <v>134</v>
      </c>
      <c r="E52" s="1">
        <v>11</v>
      </c>
      <c r="F52" s="2" t="s">
        <v>950</v>
      </c>
      <c r="G52" s="1" t="s">
        <v>951</v>
      </c>
      <c r="W52" s="1">
        <f t="shared" si="3"/>
        <v>0</v>
      </c>
    </row>
    <row r="53" spans="1:23">
      <c r="A53" s="1">
        <v>17</v>
      </c>
      <c r="B53" s="1" t="s">
        <v>427</v>
      </c>
      <c r="C53" s="1">
        <v>25</v>
      </c>
      <c r="D53" s="1" t="s">
        <v>428</v>
      </c>
      <c r="E53" s="1">
        <v>9</v>
      </c>
      <c r="F53" s="1" t="s">
        <v>430</v>
      </c>
      <c r="G53" s="1" t="s">
        <v>431</v>
      </c>
      <c r="W53" s="1">
        <f t="shared" si="3"/>
        <v>0</v>
      </c>
    </row>
    <row r="54" spans="1:23">
      <c r="A54" s="1">
        <v>18</v>
      </c>
      <c r="B54" s="1" t="s">
        <v>91</v>
      </c>
      <c r="C54" s="1">
        <v>19</v>
      </c>
      <c r="F54" s="1" t="s">
        <v>473</v>
      </c>
      <c r="G54" s="1" t="s">
        <v>968</v>
      </c>
      <c r="W54" s="1">
        <f t="shared" ref="W54:W56" si="4">IF(ISBLANK(B54),,IF(ISBLANK(D54),1,0))</f>
        <v>1</v>
      </c>
    </row>
    <row r="55" spans="1:23">
      <c r="A55" s="1">
        <v>18</v>
      </c>
      <c r="B55" s="1" t="s">
        <v>91</v>
      </c>
      <c r="C55" s="1">
        <v>19</v>
      </c>
      <c r="D55" s="1" t="s">
        <v>93</v>
      </c>
      <c r="E55" s="1">
        <v>6</v>
      </c>
      <c r="F55" s="1" t="s">
        <v>448</v>
      </c>
      <c r="G55" s="1" t="s">
        <v>449</v>
      </c>
      <c r="W55" s="1">
        <f t="shared" si="4"/>
        <v>0</v>
      </c>
    </row>
    <row r="56" spans="1:23">
      <c r="A56" s="1">
        <v>18</v>
      </c>
      <c r="B56" s="1" t="s">
        <v>91</v>
      </c>
      <c r="C56" s="1">
        <v>19</v>
      </c>
      <c r="D56" s="1" t="s">
        <v>92</v>
      </c>
      <c r="E56" s="1">
        <v>3</v>
      </c>
      <c r="F56" s="1" t="s">
        <v>450</v>
      </c>
      <c r="W56" s="1">
        <f t="shared" si="4"/>
        <v>0</v>
      </c>
    </row>
    <row r="57" spans="1:23">
      <c r="A57" s="1">
        <v>18</v>
      </c>
      <c r="B57" s="1" t="s">
        <v>91</v>
      </c>
      <c r="C57" s="1">
        <v>19</v>
      </c>
      <c r="D57" s="1" t="s">
        <v>94</v>
      </c>
      <c r="E57" s="1">
        <v>10</v>
      </c>
      <c r="F57" s="1" t="s">
        <v>451</v>
      </c>
      <c r="G57" s="1" t="s">
        <v>452</v>
      </c>
      <c r="W57" s="1">
        <f>IF(ISBLANK(B57),,IF(ISBLANK(D57),1,0))</f>
        <v>0</v>
      </c>
    </row>
    <row r="58" spans="1:23">
      <c r="A58" s="1">
        <v>19</v>
      </c>
      <c r="B58" s="1" t="s">
        <v>396</v>
      </c>
      <c r="C58" s="1">
        <v>6</v>
      </c>
      <c r="F58" s="1" t="s">
        <v>397</v>
      </c>
      <c r="W58" s="1">
        <f>IF(ISBLANK(B58),,IF(ISBLANK(D58),1,0))</f>
        <v>1</v>
      </c>
    </row>
  </sheetData>
  <sortState xmlns:xlrd2="http://schemas.microsoft.com/office/spreadsheetml/2017/richdata2" ref="A2:G58">
    <sortCondition ref="A2:A58"/>
  </sortState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82488-BE3B-42AB-BF9C-0C74658490DA}">
  <sheetPr codeName="Sheet3"/>
  <dimension ref="A1:L180"/>
  <sheetViews>
    <sheetView zoomScaleNormal="100" workbookViewId="0">
      <pane ySplit="1" topLeftCell="A139" activePane="bottomLeft" state="frozen"/>
      <selection activeCell="G64" sqref="G64"/>
      <selection pane="bottomLeft" activeCell="G157" sqref="G157"/>
    </sheetView>
  </sheetViews>
  <sheetFormatPr defaultColWidth="8.75" defaultRowHeight="17.399999999999999"/>
  <cols>
    <col min="1" max="2" width="7.83203125" style="1" bestFit="1" customWidth="1"/>
    <col min="3" max="3" width="2.1640625" style="1" bestFit="1" customWidth="1"/>
    <col min="4" max="4" width="13.08203125" style="1" bestFit="1" customWidth="1"/>
    <col min="5" max="5" width="4.5" style="1" bestFit="1" customWidth="1"/>
    <col min="6" max="6" width="13.25" style="1" bestFit="1" customWidth="1"/>
    <col min="7" max="7" width="8.33203125" style="1" bestFit="1" customWidth="1"/>
    <col min="8" max="8" width="26.5" style="1" bestFit="1" customWidth="1"/>
    <col min="9" max="9" width="2.83203125" bestFit="1" customWidth="1"/>
    <col min="10" max="10" width="21.83203125" style="1" bestFit="1" customWidth="1"/>
    <col min="11" max="11" width="11.25" style="1" bestFit="1" customWidth="1"/>
    <col min="12" max="12" width="4.5" style="1" bestFit="1" customWidth="1"/>
    <col min="13" max="16384" width="8.75" style="1"/>
  </cols>
  <sheetData>
    <row r="1" spans="1:12">
      <c r="B1" s="1" t="s">
        <v>16</v>
      </c>
      <c r="D1" s="1" t="s">
        <v>476</v>
      </c>
      <c r="E1" s="1" t="s">
        <v>17</v>
      </c>
      <c r="F1" s="1" t="s">
        <v>141</v>
      </c>
      <c r="G1" s="1" t="s">
        <v>477</v>
      </c>
      <c r="H1" s="1" t="s">
        <v>478</v>
      </c>
      <c r="J1" s="1" t="s">
        <v>19</v>
      </c>
      <c r="K1" s="1" t="s">
        <v>479</v>
      </c>
      <c r="L1" s="1" t="s">
        <v>480</v>
      </c>
    </row>
    <row r="2" spans="1:12">
      <c r="A2" s="1" t="s">
        <v>302</v>
      </c>
      <c r="B2" s="1" t="s">
        <v>614</v>
      </c>
      <c r="G2" s="1" t="s">
        <v>837</v>
      </c>
      <c r="H2" s="1" t="s">
        <v>1517</v>
      </c>
      <c r="J2" s="1" t="s">
        <v>1518</v>
      </c>
    </row>
    <row r="4" spans="1:12">
      <c r="A4" s="1" t="s">
        <v>559</v>
      </c>
      <c r="B4" s="1" t="s">
        <v>66</v>
      </c>
      <c r="D4" s="1" t="s">
        <v>560</v>
      </c>
      <c r="H4" s="1" t="s">
        <v>561</v>
      </c>
    </row>
    <row r="5" spans="1:12">
      <c r="A5" s="1" t="s">
        <v>559</v>
      </c>
      <c r="B5" s="1" t="s">
        <v>562</v>
      </c>
      <c r="D5" s="1" t="s">
        <v>563</v>
      </c>
      <c r="H5" s="1" t="s">
        <v>564</v>
      </c>
    </row>
    <row r="6" spans="1:12">
      <c r="A6" s="1" t="s">
        <v>559</v>
      </c>
      <c r="B6" s="1" t="s">
        <v>565</v>
      </c>
      <c r="D6" s="1" t="s">
        <v>566</v>
      </c>
      <c r="H6" s="1" t="s">
        <v>567</v>
      </c>
    </row>
    <row r="8" spans="1:12">
      <c r="A8" s="1" t="s">
        <v>280</v>
      </c>
      <c r="B8" s="1" t="s">
        <v>121</v>
      </c>
      <c r="D8" s="1" t="s">
        <v>1512</v>
      </c>
      <c r="G8" s="1" t="s">
        <v>1513</v>
      </c>
    </row>
    <row r="9" spans="1:12">
      <c r="A9" s="1" t="s">
        <v>280</v>
      </c>
      <c r="B9" s="1" t="s">
        <v>1511</v>
      </c>
      <c r="D9" s="1" t="s">
        <v>1514</v>
      </c>
      <c r="G9" s="1" t="s">
        <v>289</v>
      </c>
    </row>
    <row r="10" spans="1:12">
      <c r="A10" s="1" t="s">
        <v>280</v>
      </c>
      <c r="B10" s="1" t="s">
        <v>1511</v>
      </c>
      <c r="D10" s="1" t="s">
        <v>1515</v>
      </c>
      <c r="G10" s="1" t="s">
        <v>1516</v>
      </c>
    </row>
    <row r="12" spans="1:12">
      <c r="A12" s="1" t="s">
        <v>579</v>
      </c>
      <c r="B12" s="1" t="s">
        <v>1522</v>
      </c>
      <c r="D12" s="1" t="s">
        <v>583</v>
      </c>
    </row>
    <row r="13" spans="1:12">
      <c r="A13" s="1" t="s">
        <v>579</v>
      </c>
      <c r="B13" s="1" t="s">
        <v>1523</v>
      </c>
      <c r="D13" s="1" t="s">
        <v>580</v>
      </c>
      <c r="G13" s="1" t="s">
        <v>134</v>
      </c>
      <c r="J13" s="1" t="s">
        <v>581</v>
      </c>
    </row>
    <row r="14" spans="1:12">
      <c r="A14" s="1" t="s">
        <v>579</v>
      </c>
      <c r="B14" s="1" t="s">
        <v>1523</v>
      </c>
      <c r="D14" s="1" t="s">
        <v>582</v>
      </c>
      <c r="G14" s="1" t="s">
        <v>766</v>
      </c>
      <c r="J14" s="1" t="s">
        <v>1530</v>
      </c>
    </row>
    <row r="16" spans="1:12">
      <c r="A16" s="1" t="s">
        <v>139</v>
      </c>
      <c r="B16" s="1" t="s">
        <v>424</v>
      </c>
      <c r="D16" s="1" t="s">
        <v>1524</v>
      </c>
      <c r="H16" s="1" t="s">
        <v>1527</v>
      </c>
      <c r="J16" s="1" t="s">
        <v>1693</v>
      </c>
    </row>
    <row r="17" spans="1:10">
      <c r="A17" s="1" t="s">
        <v>139</v>
      </c>
      <c r="B17" s="1" t="s">
        <v>425</v>
      </c>
      <c r="D17" s="1" t="s">
        <v>1525</v>
      </c>
      <c r="G17" s="1" t="s">
        <v>629</v>
      </c>
      <c r="H17" s="1" t="s">
        <v>1528</v>
      </c>
    </row>
    <row r="18" spans="1:10">
      <c r="A18" s="1" t="s">
        <v>139</v>
      </c>
      <c r="B18" s="1" t="s">
        <v>425</v>
      </c>
      <c r="D18" s="1" t="s">
        <v>1526</v>
      </c>
      <c r="G18" s="1" t="s">
        <v>182</v>
      </c>
      <c r="H18" s="1" t="s">
        <v>1529</v>
      </c>
    </row>
    <row r="20" spans="1:10">
      <c r="A20" s="1" t="s">
        <v>417</v>
      </c>
      <c r="B20" s="1" t="s">
        <v>489</v>
      </c>
      <c r="D20" s="1" t="s">
        <v>1531</v>
      </c>
      <c r="G20" s="1" t="s">
        <v>1536</v>
      </c>
    </row>
    <row r="21" spans="1:10">
      <c r="A21" s="1" t="s">
        <v>417</v>
      </c>
      <c r="B21" s="1" t="s">
        <v>589</v>
      </c>
      <c r="D21" s="1" t="s">
        <v>1532</v>
      </c>
      <c r="G21" s="1" t="s">
        <v>161</v>
      </c>
    </row>
    <row r="22" spans="1:10">
      <c r="A22" s="1" t="s">
        <v>417</v>
      </c>
      <c r="B22" s="1" t="s">
        <v>589</v>
      </c>
      <c r="D22" s="1" t="s">
        <v>1533</v>
      </c>
      <c r="G22" s="1" t="s">
        <v>1535</v>
      </c>
    </row>
    <row r="23" spans="1:10">
      <c r="A23" s="1" t="s">
        <v>417</v>
      </c>
      <c r="B23" s="1" t="s">
        <v>589</v>
      </c>
      <c r="D23" s="1" t="s">
        <v>1534</v>
      </c>
      <c r="G23" s="1" t="s">
        <v>1537</v>
      </c>
    </row>
    <row r="25" spans="1:10">
      <c r="A25" s="1" t="s">
        <v>190</v>
      </c>
      <c r="D25" s="1" t="s">
        <v>1521</v>
      </c>
      <c r="F25" s="1" t="s">
        <v>410</v>
      </c>
      <c r="G25" s="1" t="s">
        <v>1741</v>
      </c>
    </row>
    <row r="26" spans="1:10">
      <c r="A26" s="1" t="s">
        <v>190</v>
      </c>
      <c r="D26" s="1" t="s">
        <v>1520</v>
      </c>
      <c r="F26" s="1" t="s">
        <v>409</v>
      </c>
      <c r="H26" s="1" t="s">
        <v>1743</v>
      </c>
      <c r="J26" s="1" t="s">
        <v>1744</v>
      </c>
    </row>
    <row r="27" spans="1:10">
      <c r="A27" s="1" t="s">
        <v>190</v>
      </c>
      <c r="D27" s="1" t="s">
        <v>484</v>
      </c>
      <c r="F27" s="1" t="s">
        <v>553</v>
      </c>
    </row>
    <row r="28" spans="1:10">
      <c r="A28" s="1" t="s">
        <v>190</v>
      </c>
      <c r="D28" s="1" t="s">
        <v>1519</v>
      </c>
      <c r="F28" s="1" t="s">
        <v>294</v>
      </c>
      <c r="G28" s="1" t="s">
        <v>1742</v>
      </c>
    </row>
    <row r="30" spans="1:10">
      <c r="A30" s="1" t="s">
        <v>498</v>
      </c>
      <c r="B30" s="1" t="s">
        <v>499</v>
      </c>
      <c r="C30" s="1">
        <v>2</v>
      </c>
      <c r="D30" s="1" t="s">
        <v>500</v>
      </c>
      <c r="F30" s="1" t="s">
        <v>501</v>
      </c>
      <c r="J30" s="1" t="s">
        <v>502</v>
      </c>
    </row>
    <row r="31" spans="1:10">
      <c r="A31" s="1" t="s">
        <v>498</v>
      </c>
      <c r="B31" s="1" t="s">
        <v>499</v>
      </c>
      <c r="C31" s="1">
        <v>2</v>
      </c>
      <c r="D31" s="1" t="s">
        <v>503</v>
      </c>
      <c r="F31" s="1" t="s">
        <v>71</v>
      </c>
      <c r="J31" s="1" t="s">
        <v>1540</v>
      </c>
    </row>
    <row r="32" spans="1:10">
      <c r="A32" s="1" t="s">
        <v>498</v>
      </c>
      <c r="B32" s="1" t="s">
        <v>504</v>
      </c>
      <c r="C32" s="1">
        <v>3</v>
      </c>
      <c r="D32" s="1" t="s">
        <v>505</v>
      </c>
      <c r="F32" s="1" t="s">
        <v>506</v>
      </c>
      <c r="G32" s="1" t="s">
        <v>1541</v>
      </c>
      <c r="J32" s="1" t="s">
        <v>507</v>
      </c>
    </row>
    <row r="33" spans="1:8">
      <c r="A33" s="1" t="s">
        <v>498</v>
      </c>
      <c r="B33" s="1" t="s">
        <v>504</v>
      </c>
      <c r="C33" s="1">
        <v>3</v>
      </c>
      <c r="D33" s="1" t="s">
        <v>508</v>
      </c>
      <c r="F33" s="1" t="s">
        <v>184</v>
      </c>
      <c r="G33" s="1" t="s">
        <v>509</v>
      </c>
    </row>
    <row r="34" spans="1:8">
      <c r="A34" s="1" t="s">
        <v>498</v>
      </c>
      <c r="B34" s="1" t="s">
        <v>504</v>
      </c>
      <c r="C34" s="1">
        <v>3</v>
      </c>
      <c r="D34" s="1" t="s">
        <v>510</v>
      </c>
      <c r="G34" s="1" t="s">
        <v>1542</v>
      </c>
    </row>
    <row r="35" spans="1:8">
      <c r="A35" s="1" t="s">
        <v>498</v>
      </c>
      <c r="B35" s="1" t="s">
        <v>511</v>
      </c>
      <c r="C35" s="1">
        <v>1</v>
      </c>
      <c r="D35" s="1" t="s">
        <v>512</v>
      </c>
      <c r="F35" s="1" t="s">
        <v>513</v>
      </c>
    </row>
    <row r="37" spans="1:8">
      <c r="A37" s="1" t="s">
        <v>625</v>
      </c>
      <c r="B37" s="1" t="s">
        <v>626</v>
      </c>
      <c r="C37" s="1">
        <v>3</v>
      </c>
      <c r="D37" s="1" t="s">
        <v>1546</v>
      </c>
      <c r="F37" s="1" t="s">
        <v>591</v>
      </c>
      <c r="G37" s="1" t="s">
        <v>589</v>
      </c>
    </row>
    <row r="38" spans="1:8">
      <c r="A38" s="1" t="s">
        <v>625</v>
      </c>
      <c r="B38" s="1" t="s">
        <v>626</v>
      </c>
      <c r="C38" s="1">
        <v>3</v>
      </c>
      <c r="D38" s="1" t="s">
        <v>1547</v>
      </c>
      <c r="F38" s="1" t="s">
        <v>596</v>
      </c>
      <c r="G38" s="1" t="s">
        <v>489</v>
      </c>
    </row>
    <row r="39" spans="1:8">
      <c r="A39" s="1" t="s">
        <v>625</v>
      </c>
      <c r="B39" s="1" t="s">
        <v>626</v>
      </c>
      <c r="C39" s="1">
        <v>3</v>
      </c>
      <c r="D39" s="1" t="s">
        <v>1548</v>
      </c>
      <c r="G39" s="1" t="s">
        <v>598</v>
      </c>
      <c r="H39" s="1" t="s">
        <v>1730</v>
      </c>
    </row>
    <row r="40" spans="1:8">
      <c r="A40" s="1" t="s">
        <v>625</v>
      </c>
      <c r="B40" s="1" t="s">
        <v>629</v>
      </c>
      <c r="C40" s="1">
        <v>4</v>
      </c>
      <c r="D40" s="1" t="s">
        <v>1549</v>
      </c>
      <c r="E40" s="1" t="s">
        <v>1731</v>
      </c>
      <c r="G40" s="1" t="s">
        <v>766</v>
      </c>
    </row>
    <row r="41" spans="1:8">
      <c r="A41" s="1" t="s">
        <v>625</v>
      </c>
      <c r="B41" s="1" t="s">
        <v>629</v>
      </c>
      <c r="C41" s="1">
        <v>4</v>
      </c>
      <c r="D41" s="1" t="s">
        <v>1550</v>
      </c>
      <c r="E41" s="1" t="s">
        <v>1731</v>
      </c>
      <c r="G41" s="1" t="s">
        <v>608</v>
      </c>
    </row>
    <row r="42" spans="1:8">
      <c r="A42" s="1" t="s">
        <v>625</v>
      </c>
      <c r="B42" s="1" t="s">
        <v>629</v>
      </c>
      <c r="C42" s="1">
        <v>4</v>
      </c>
      <c r="D42" s="1" t="s">
        <v>1551</v>
      </c>
      <c r="E42" s="1" t="s">
        <v>294</v>
      </c>
      <c r="H42" s="1" t="s">
        <v>1554</v>
      </c>
    </row>
    <row r="43" spans="1:8">
      <c r="A43" s="1" t="s">
        <v>625</v>
      </c>
      <c r="B43" s="1" t="s">
        <v>629</v>
      </c>
      <c r="C43" s="1">
        <v>4</v>
      </c>
      <c r="D43" s="1" t="s">
        <v>1552</v>
      </c>
      <c r="E43" s="1" t="s">
        <v>294</v>
      </c>
      <c r="G43" s="1" t="s">
        <v>1556</v>
      </c>
      <c r="H43" s="1" t="s">
        <v>1555</v>
      </c>
    </row>
    <row r="45" spans="1:8">
      <c r="A45" s="1" t="s">
        <v>223</v>
      </c>
      <c r="B45" s="1" t="s">
        <v>568</v>
      </c>
      <c r="C45" s="1">
        <v>1</v>
      </c>
      <c r="D45" s="1" t="s">
        <v>569</v>
      </c>
    </row>
    <row r="46" spans="1:8">
      <c r="A46" s="1" t="s">
        <v>223</v>
      </c>
      <c r="B46" s="1" t="s">
        <v>570</v>
      </c>
      <c r="C46" s="1">
        <v>2</v>
      </c>
      <c r="D46" s="1" t="s">
        <v>571</v>
      </c>
    </row>
    <row r="47" spans="1:8">
      <c r="A47" s="1" t="s">
        <v>223</v>
      </c>
      <c r="B47" s="1" t="s">
        <v>570</v>
      </c>
      <c r="C47" s="1">
        <v>2</v>
      </c>
      <c r="D47" s="1" t="s">
        <v>572</v>
      </c>
    </row>
    <row r="48" spans="1:8">
      <c r="A48" s="1" t="s">
        <v>223</v>
      </c>
      <c r="B48" s="1" t="s">
        <v>573</v>
      </c>
      <c r="C48" s="1">
        <v>4</v>
      </c>
      <c r="D48" s="1" t="s">
        <v>574</v>
      </c>
      <c r="G48" s="1" t="s">
        <v>575</v>
      </c>
    </row>
    <row r="49" spans="1:11">
      <c r="A49" s="1" t="s">
        <v>223</v>
      </c>
      <c r="B49" s="1" t="s">
        <v>573</v>
      </c>
      <c r="C49" s="1">
        <v>4</v>
      </c>
      <c r="D49" s="1" t="s">
        <v>576</v>
      </c>
      <c r="G49" s="1" t="s">
        <v>697</v>
      </c>
    </row>
    <row r="50" spans="1:11">
      <c r="A50" s="1" t="s">
        <v>223</v>
      </c>
      <c r="B50" s="1" t="s">
        <v>573</v>
      </c>
      <c r="C50" s="1">
        <v>4</v>
      </c>
      <c r="D50" s="1" t="s">
        <v>577</v>
      </c>
      <c r="G50" s="1" t="s">
        <v>1543</v>
      </c>
    </row>
    <row r="51" spans="1:11">
      <c r="A51" s="1" t="s">
        <v>223</v>
      </c>
      <c r="B51" s="1" t="s">
        <v>573</v>
      </c>
      <c r="C51" s="1">
        <v>4</v>
      </c>
      <c r="D51" s="1" t="s">
        <v>578</v>
      </c>
      <c r="H51" s="2" t="s">
        <v>1544</v>
      </c>
      <c r="J51" s="1" t="s">
        <v>1686</v>
      </c>
    </row>
    <row r="53" spans="1:11">
      <c r="A53" s="1" t="s">
        <v>32</v>
      </c>
      <c r="B53" s="1" t="s">
        <v>133</v>
      </c>
      <c r="C53" s="1">
        <v>2</v>
      </c>
      <c r="D53" s="1" t="s">
        <v>481</v>
      </c>
      <c r="F53" s="1" t="s">
        <v>482</v>
      </c>
      <c r="H53" s="2" t="s">
        <v>1557</v>
      </c>
      <c r="J53" s="2" t="s">
        <v>1558</v>
      </c>
      <c r="K53" s="3" t="s">
        <v>483</v>
      </c>
    </row>
    <row r="54" spans="1:11">
      <c r="A54" s="1" t="s">
        <v>32</v>
      </c>
      <c r="B54" s="1" t="s">
        <v>133</v>
      </c>
      <c r="C54" s="1">
        <v>2</v>
      </c>
      <c r="D54" s="1" t="s">
        <v>485</v>
      </c>
      <c r="G54" s="1" t="s">
        <v>486</v>
      </c>
      <c r="J54" s="1" t="s">
        <v>487</v>
      </c>
      <c r="K54" s="3" t="s">
        <v>488</v>
      </c>
    </row>
    <row r="55" spans="1:11">
      <c r="A55" s="1" t="s">
        <v>32</v>
      </c>
      <c r="B55" s="1" t="s">
        <v>489</v>
      </c>
      <c r="C55" s="1">
        <v>1</v>
      </c>
      <c r="D55" s="1" t="s">
        <v>490</v>
      </c>
    </row>
    <row r="56" spans="1:11">
      <c r="A56" s="1" t="s">
        <v>32</v>
      </c>
      <c r="B56" s="1" t="s">
        <v>491</v>
      </c>
      <c r="C56" s="1">
        <v>2</v>
      </c>
      <c r="D56" s="1" t="s">
        <v>492</v>
      </c>
      <c r="G56" s="1" t="s">
        <v>493</v>
      </c>
    </row>
    <row r="57" spans="1:11">
      <c r="A57" s="1" t="s">
        <v>32</v>
      </c>
      <c r="B57" s="1" t="s">
        <v>491</v>
      </c>
      <c r="C57" s="1">
        <v>2</v>
      </c>
      <c r="D57" s="1" t="s">
        <v>494</v>
      </c>
    </row>
    <row r="58" spans="1:11">
      <c r="A58" s="1" t="s">
        <v>32</v>
      </c>
      <c r="B58" s="1" t="s">
        <v>10</v>
      </c>
      <c r="C58" s="1">
        <v>1</v>
      </c>
      <c r="D58" s="1" t="s">
        <v>495</v>
      </c>
    </row>
    <row r="59" spans="1:11">
      <c r="A59" s="1" t="s">
        <v>32</v>
      </c>
      <c r="B59" s="1" t="s">
        <v>496</v>
      </c>
      <c r="C59" s="1">
        <v>1</v>
      </c>
      <c r="D59" s="1" t="s">
        <v>497</v>
      </c>
    </row>
    <row r="61" spans="1:11">
      <c r="A61" s="1" t="s">
        <v>637</v>
      </c>
      <c r="B61" s="1" t="s">
        <v>133</v>
      </c>
      <c r="C61" s="1">
        <v>2</v>
      </c>
      <c r="D61" s="1" t="s">
        <v>1559</v>
      </c>
      <c r="G61" s="1" t="s">
        <v>1740</v>
      </c>
    </row>
    <row r="62" spans="1:11">
      <c r="A62" s="1" t="s">
        <v>637</v>
      </c>
      <c r="B62" s="1" t="s">
        <v>133</v>
      </c>
      <c r="C62" s="1">
        <v>2</v>
      </c>
      <c r="D62" s="1" t="s">
        <v>1560</v>
      </c>
      <c r="G62" s="1" t="s">
        <v>1567</v>
      </c>
    </row>
    <row r="63" spans="1:11">
      <c r="A63" s="1" t="s">
        <v>637</v>
      </c>
      <c r="B63" s="1" t="s">
        <v>134</v>
      </c>
      <c r="C63" s="1">
        <v>2</v>
      </c>
      <c r="D63" s="1" t="s">
        <v>1561</v>
      </c>
      <c r="G63" s="1" t="s">
        <v>1568</v>
      </c>
      <c r="J63" s="1" t="s">
        <v>1569</v>
      </c>
    </row>
    <row r="64" spans="1:11">
      <c r="A64" s="1" t="s">
        <v>637</v>
      </c>
      <c r="B64" s="1" t="s">
        <v>134</v>
      </c>
      <c r="C64" s="1">
        <v>2</v>
      </c>
      <c r="D64" s="1" t="s">
        <v>1562</v>
      </c>
      <c r="G64" s="1" t="s">
        <v>1570</v>
      </c>
    </row>
    <row r="65" spans="1:10">
      <c r="A65" s="1" t="s">
        <v>637</v>
      </c>
      <c r="B65" s="1" t="s">
        <v>90</v>
      </c>
      <c r="C65" s="1">
        <v>1</v>
      </c>
      <c r="D65" s="1" t="s">
        <v>1563</v>
      </c>
      <c r="G65" s="1" t="s">
        <v>189</v>
      </c>
    </row>
    <row r="66" spans="1:10">
      <c r="A66" s="1" t="s">
        <v>637</v>
      </c>
      <c r="B66" s="1" t="s">
        <v>682</v>
      </c>
      <c r="C66" s="1">
        <v>1</v>
      </c>
      <c r="D66" s="1" t="s">
        <v>1564</v>
      </c>
      <c r="G66" s="1" t="s">
        <v>491</v>
      </c>
    </row>
    <row r="67" spans="1:10">
      <c r="A67" s="1" t="s">
        <v>637</v>
      </c>
      <c r="B67" s="1" t="s">
        <v>189</v>
      </c>
      <c r="C67" s="1">
        <v>2</v>
      </c>
      <c r="D67" s="1" t="s">
        <v>1565</v>
      </c>
      <c r="G67" s="1" t="s">
        <v>266</v>
      </c>
      <c r="J67" s="1" t="s">
        <v>1571</v>
      </c>
    </row>
    <row r="68" spans="1:10">
      <c r="A68" s="1" t="s">
        <v>637</v>
      </c>
      <c r="B68" s="1" t="s">
        <v>189</v>
      </c>
      <c r="C68" s="1">
        <v>2</v>
      </c>
      <c r="D68" s="1" t="s">
        <v>1566</v>
      </c>
      <c r="G68" s="1" t="s">
        <v>71</v>
      </c>
      <c r="J68" s="1" t="s">
        <v>503</v>
      </c>
    </row>
    <row r="70" spans="1:10">
      <c r="A70" s="1" t="s">
        <v>634</v>
      </c>
      <c r="B70" s="1" t="s">
        <v>399</v>
      </c>
      <c r="C70" s="1">
        <v>1</v>
      </c>
      <c r="D70" s="1" t="s">
        <v>1576</v>
      </c>
    </row>
    <row r="71" spans="1:10">
      <c r="A71" s="1" t="s">
        <v>634</v>
      </c>
      <c r="B71" s="1" t="s">
        <v>1572</v>
      </c>
      <c r="C71" s="1">
        <v>1</v>
      </c>
      <c r="D71" s="1" t="s">
        <v>1577</v>
      </c>
      <c r="J71" s="1" t="s">
        <v>1690</v>
      </c>
    </row>
    <row r="72" spans="1:10">
      <c r="A72" s="1" t="s">
        <v>634</v>
      </c>
      <c r="B72" s="1" t="s">
        <v>1573</v>
      </c>
      <c r="C72" s="1">
        <v>2</v>
      </c>
      <c r="D72" s="1" t="s">
        <v>1578</v>
      </c>
      <c r="G72" s="1" t="s">
        <v>1691</v>
      </c>
    </row>
    <row r="73" spans="1:10">
      <c r="A73" s="1" t="s">
        <v>634</v>
      </c>
      <c r="B73" s="1" t="s">
        <v>1573</v>
      </c>
      <c r="C73" s="1">
        <v>2</v>
      </c>
      <c r="D73" s="1" t="s">
        <v>1579</v>
      </c>
      <c r="G73" s="1" t="s">
        <v>1692</v>
      </c>
    </row>
    <row r="74" spans="1:10">
      <c r="A74" s="1" t="s">
        <v>634</v>
      </c>
      <c r="B74" s="1" t="s">
        <v>1574</v>
      </c>
      <c r="C74" s="1">
        <v>1</v>
      </c>
      <c r="D74" s="1" t="s">
        <v>1580</v>
      </c>
    </row>
    <row r="75" spans="1:10">
      <c r="A75" s="1" t="s">
        <v>634</v>
      </c>
      <c r="B75" s="1" t="s">
        <v>1575</v>
      </c>
      <c r="C75" s="1">
        <v>3</v>
      </c>
      <c r="D75" s="1" t="s">
        <v>1581</v>
      </c>
      <c r="G75" s="1" t="s">
        <v>1516</v>
      </c>
    </row>
    <row r="76" spans="1:10">
      <c r="A76" s="1" t="s">
        <v>634</v>
      </c>
      <c r="B76" s="1" t="s">
        <v>1575</v>
      </c>
      <c r="C76" s="1">
        <v>3</v>
      </c>
      <c r="D76" s="1" t="s">
        <v>1582</v>
      </c>
      <c r="G76" s="1" t="s">
        <v>519</v>
      </c>
    </row>
    <row r="77" spans="1:10">
      <c r="A77" s="1" t="s">
        <v>634</v>
      </c>
      <c r="B77" s="1" t="s">
        <v>1575</v>
      </c>
      <c r="C77" s="1">
        <v>3</v>
      </c>
      <c r="D77" s="1" t="s">
        <v>1583</v>
      </c>
      <c r="G77" s="1" t="s">
        <v>523</v>
      </c>
    </row>
    <row r="79" spans="1:10">
      <c r="A79" s="1" t="s">
        <v>247</v>
      </c>
      <c r="B79" s="1" t="s">
        <v>645</v>
      </c>
      <c r="C79" s="1">
        <v>3</v>
      </c>
      <c r="D79" s="1" t="s">
        <v>1584</v>
      </c>
      <c r="G79" s="1" t="s">
        <v>71</v>
      </c>
      <c r="J79" s="1" t="s">
        <v>1586</v>
      </c>
    </row>
    <row r="80" spans="1:10">
      <c r="A80" s="1" t="s">
        <v>247</v>
      </c>
      <c r="B80" s="1" t="s">
        <v>645</v>
      </c>
      <c r="C80" s="1">
        <v>3</v>
      </c>
      <c r="D80" s="1" t="s">
        <v>1587</v>
      </c>
      <c r="G80" s="1" t="s">
        <v>294</v>
      </c>
      <c r="H80" s="1" t="s">
        <v>1703</v>
      </c>
    </row>
    <row r="81" spans="1:10">
      <c r="A81" s="1" t="s">
        <v>247</v>
      </c>
      <c r="B81" s="1" t="s">
        <v>645</v>
      </c>
      <c r="C81" s="1">
        <v>3</v>
      </c>
      <c r="D81" s="1" t="s">
        <v>1585</v>
      </c>
    </row>
    <row r="82" spans="1:10">
      <c r="A82" s="1" t="s">
        <v>247</v>
      </c>
      <c r="B82" s="1" t="s">
        <v>493</v>
      </c>
      <c r="C82" s="1">
        <v>6</v>
      </c>
      <c r="D82" s="1" t="s">
        <v>1592</v>
      </c>
      <c r="E82" s="1" t="s">
        <v>76</v>
      </c>
      <c r="F82" s="1" t="s">
        <v>1597</v>
      </c>
      <c r="G82" s="1" t="s">
        <v>1701</v>
      </c>
      <c r="H82" s="1" t="s">
        <v>1702</v>
      </c>
      <c r="J82" s="1" t="s">
        <v>1695</v>
      </c>
    </row>
    <row r="83" spans="1:10">
      <c r="A83" s="1" t="s">
        <v>247</v>
      </c>
      <c r="B83" s="1" t="s">
        <v>493</v>
      </c>
      <c r="C83" s="1">
        <v>6</v>
      </c>
      <c r="D83" s="1" t="s">
        <v>1591</v>
      </c>
      <c r="E83" s="1" t="s">
        <v>76</v>
      </c>
      <c r="G83" s="1" t="s">
        <v>1699</v>
      </c>
      <c r="H83" s="1" t="s">
        <v>1697</v>
      </c>
      <c r="J83" s="1" t="s">
        <v>1698</v>
      </c>
    </row>
    <row r="84" spans="1:10">
      <c r="A84" s="1" t="s">
        <v>247</v>
      </c>
      <c r="B84" s="1" t="s">
        <v>493</v>
      </c>
      <c r="C84" s="1">
        <v>6</v>
      </c>
      <c r="D84" s="1" t="s">
        <v>1590</v>
      </c>
      <c r="E84" s="1" t="s">
        <v>1694</v>
      </c>
      <c r="G84" s="1" t="s">
        <v>183</v>
      </c>
    </row>
    <row r="85" spans="1:10">
      <c r="A85" s="1" t="s">
        <v>247</v>
      </c>
      <c r="B85" s="1" t="s">
        <v>493</v>
      </c>
      <c r="C85" s="1">
        <v>6</v>
      </c>
      <c r="D85" s="1" t="s">
        <v>1593</v>
      </c>
      <c r="E85" s="1" t="s">
        <v>1694</v>
      </c>
      <c r="G85" s="1" t="s">
        <v>22</v>
      </c>
      <c r="H85" s="1" t="s">
        <v>1700</v>
      </c>
    </row>
    <row r="86" spans="1:10">
      <c r="A86" s="1" t="s">
        <v>247</v>
      </c>
      <c r="B86" s="1" t="s">
        <v>493</v>
      </c>
      <c r="C86" s="1">
        <v>6</v>
      </c>
      <c r="D86" s="1" t="s">
        <v>1595</v>
      </c>
      <c r="G86" s="1" t="s">
        <v>1696</v>
      </c>
    </row>
    <row r="87" spans="1:10">
      <c r="A87" s="1" t="s">
        <v>247</v>
      </c>
      <c r="B87" s="1" t="s">
        <v>493</v>
      </c>
      <c r="C87" s="1">
        <v>6</v>
      </c>
      <c r="D87" s="1" t="s">
        <v>1594</v>
      </c>
      <c r="G87" s="1" t="s">
        <v>697</v>
      </c>
      <c r="H87" s="1" t="s">
        <v>1596</v>
      </c>
    </row>
    <row r="89" spans="1:10">
      <c r="A89" s="1" t="s">
        <v>641</v>
      </c>
      <c r="B89" s="1" t="s">
        <v>108</v>
      </c>
      <c r="C89" s="1">
        <v>5</v>
      </c>
      <c r="D89" s="1" t="s">
        <v>1704</v>
      </c>
      <c r="G89" s="1" t="s">
        <v>1681</v>
      </c>
    </row>
    <row r="90" spans="1:10">
      <c r="A90" s="1" t="s">
        <v>641</v>
      </c>
      <c r="B90" s="1" t="s">
        <v>108</v>
      </c>
      <c r="C90" s="1">
        <v>5</v>
      </c>
      <c r="D90" s="1" t="s">
        <v>1706</v>
      </c>
      <c r="G90" s="1" t="s">
        <v>1727</v>
      </c>
      <c r="H90" s="1" t="s">
        <v>1726</v>
      </c>
    </row>
    <row r="91" spans="1:10">
      <c r="A91" s="1" t="s">
        <v>641</v>
      </c>
      <c r="B91" s="1" t="s">
        <v>108</v>
      </c>
      <c r="C91" s="1">
        <v>5</v>
      </c>
      <c r="D91" s="1" t="s">
        <v>1705</v>
      </c>
      <c r="G91" s="1" t="s">
        <v>1714</v>
      </c>
    </row>
    <row r="92" spans="1:10">
      <c r="A92" s="1" t="s">
        <v>641</v>
      </c>
      <c r="B92" s="1" t="s">
        <v>108</v>
      </c>
      <c r="C92" s="1">
        <v>5</v>
      </c>
      <c r="D92" s="1" t="s">
        <v>1707</v>
      </c>
      <c r="G92" s="1" t="s">
        <v>1715</v>
      </c>
    </row>
    <row r="93" spans="1:10">
      <c r="A93" s="1" t="s">
        <v>641</v>
      </c>
      <c r="B93" s="1" t="s">
        <v>108</v>
      </c>
      <c r="C93" s="1">
        <v>5</v>
      </c>
      <c r="D93" s="1" t="s">
        <v>1708</v>
      </c>
      <c r="F93" s="1" t="s">
        <v>133</v>
      </c>
      <c r="G93" s="1" t="s">
        <v>1716</v>
      </c>
    </row>
    <row r="94" spans="1:10">
      <c r="A94" s="1" t="s">
        <v>641</v>
      </c>
      <c r="B94" s="1" t="s">
        <v>107</v>
      </c>
      <c r="C94" s="1">
        <v>4</v>
      </c>
      <c r="D94" s="1" t="s">
        <v>1712</v>
      </c>
      <c r="F94" s="1" t="s">
        <v>419</v>
      </c>
      <c r="G94" s="1" t="s">
        <v>1713</v>
      </c>
    </row>
    <row r="95" spans="1:10">
      <c r="A95" s="1" t="s">
        <v>641</v>
      </c>
      <c r="B95" s="1" t="s">
        <v>107</v>
      </c>
      <c r="C95" s="1">
        <v>4</v>
      </c>
      <c r="D95" s="1" t="s">
        <v>1709</v>
      </c>
      <c r="F95" s="1" t="s">
        <v>1723</v>
      </c>
    </row>
    <row r="96" spans="1:10">
      <c r="A96" s="1" t="s">
        <v>641</v>
      </c>
      <c r="B96" s="1" t="s">
        <v>107</v>
      </c>
      <c r="C96" s="1">
        <v>4</v>
      </c>
      <c r="D96" s="1" t="s">
        <v>1710</v>
      </c>
      <c r="F96" s="1" t="s">
        <v>1724</v>
      </c>
      <c r="G96" s="1" t="s">
        <v>147</v>
      </c>
      <c r="H96" s="1" t="s">
        <v>1729</v>
      </c>
      <c r="J96" s="1" t="s">
        <v>1728</v>
      </c>
    </row>
    <row r="97" spans="1:11">
      <c r="A97" s="1" t="s">
        <v>641</v>
      </c>
      <c r="B97" s="1" t="s">
        <v>107</v>
      </c>
      <c r="C97" s="1">
        <v>4</v>
      </c>
      <c r="D97" s="1" t="s">
        <v>1711</v>
      </c>
      <c r="G97" s="1" t="s">
        <v>629</v>
      </c>
      <c r="J97" s="1" t="s">
        <v>1725</v>
      </c>
    </row>
    <row r="99" spans="1:11">
      <c r="A99" s="1" t="s">
        <v>66</v>
      </c>
      <c r="B99" s="1" t="s">
        <v>584</v>
      </c>
      <c r="C99" s="1">
        <v>2</v>
      </c>
      <c r="D99" s="1" t="s">
        <v>585</v>
      </c>
      <c r="F99" s="1" t="s">
        <v>586</v>
      </c>
      <c r="G99" s="1" t="s">
        <v>587</v>
      </c>
    </row>
    <row r="100" spans="1:11">
      <c r="A100" s="1" t="s">
        <v>66</v>
      </c>
      <c r="B100" s="1" t="s">
        <v>584</v>
      </c>
      <c r="C100" s="1">
        <v>2</v>
      </c>
      <c r="D100" s="1" t="s">
        <v>588</v>
      </c>
      <c r="G100" s="1" t="s">
        <v>22</v>
      </c>
    </row>
    <row r="101" spans="1:11">
      <c r="A101" s="1" t="s">
        <v>66</v>
      </c>
      <c r="B101" s="1" t="s">
        <v>589</v>
      </c>
      <c r="C101" s="1">
        <v>4</v>
      </c>
      <c r="D101" s="1" t="s">
        <v>590</v>
      </c>
      <c r="F101" s="1" t="s">
        <v>591</v>
      </c>
      <c r="G101" s="1" t="s">
        <v>592</v>
      </c>
      <c r="H101" s="1" t="s">
        <v>593</v>
      </c>
      <c r="K101" s="1" t="s">
        <v>594</v>
      </c>
    </row>
    <row r="102" spans="1:11">
      <c r="A102" s="1" t="s">
        <v>66</v>
      </c>
      <c r="B102" s="1" t="s">
        <v>589</v>
      </c>
      <c r="C102" s="1">
        <v>4</v>
      </c>
      <c r="D102" s="1" t="s">
        <v>595</v>
      </c>
      <c r="F102" s="1" t="s">
        <v>596</v>
      </c>
      <c r="G102" s="1" t="s">
        <v>143</v>
      </c>
    </row>
    <row r="103" spans="1:11">
      <c r="A103" s="1" t="s">
        <v>66</v>
      </c>
      <c r="B103" s="1" t="s">
        <v>589</v>
      </c>
      <c r="C103" s="1">
        <v>4</v>
      </c>
      <c r="D103" s="1" t="s">
        <v>597</v>
      </c>
      <c r="F103" s="1" t="s">
        <v>598</v>
      </c>
      <c r="G103" s="1" t="s">
        <v>371</v>
      </c>
    </row>
    <row r="104" spans="1:11">
      <c r="A104" s="1" t="s">
        <v>66</v>
      </c>
      <c r="B104" s="1" t="s">
        <v>589</v>
      </c>
      <c r="C104" s="1">
        <v>4</v>
      </c>
      <c r="D104" s="1" t="s">
        <v>599</v>
      </c>
    </row>
    <row r="105" spans="1:11">
      <c r="A105" s="1" t="s">
        <v>66</v>
      </c>
      <c r="B105" s="1" t="s">
        <v>134</v>
      </c>
      <c r="C105" s="1">
        <v>6</v>
      </c>
      <c r="D105" s="1" t="s">
        <v>612</v>
      </c>
      <c r="G105" s="1" t="s">
        <v>613</v>
      </c>
      <c r="K105" s="1" t="s">
        <v>590</v>
      </c>
    </row>
    <row r="106" spans="1:11">
      <c r="A106" s="1" t="s">
        <v>66</v>
      </c>
      <c r="B106" s="1" t="s">
        <v>134</v>
      </c>
      <c r="C106" s="1">
        <v>6</v>
      </c>
      <c r="D106" s="1" t="s">
        <v>600</v>
      </c>
      <c r="G106" s="1" t="s">
        <v>371</v>
      </c>
      <c r="H106" s="1" t="s">
        <v>601</v>
      </c>
    </row>
    <row r="107" spans="1:11">
      <c r="A107" s="1" t="s">
        <v>66</v>
      </c>
      <c r="B107" s="1" t="s">
        <v>134</v>
      </c>
      <c r="C107" s="1">
        <v>6</v>
      </c>
      <c r="D107" s="1" t="s">
        <v>602</v>
      </c>
      <c r="G107" s="1" t="s">
        <v>603</v>
      </c>
    </row>
    <row r="108" spans="1:11">
      <c r="A108" s="1" t="s">
        <v>66</v>
      </c>
      <c r="B108" s="1" t="s">
        <v>134</v>
      </c>
      <c r="C108" s="1">
        <v>6</v>
      </c>
      <c r="D108" s="1" t="s">
        <v>604</v>
      </c>
      <c r="G108" s="1" t="s">
        <v>605</v>
      </c>
    </row>
    <row r="109" spans="1:11">
      <c r="A109" s="1" t="s">
        <v>66</v>
      </c>
      <c r="B109" s="1" t="s">
        <v>134</v>
      </c>
      <c r="C109" s="1">
        <v>6</v>
      </c>
      <c r="D109" s="1" t="s">
        <v>606</v>
      </c>
      <c r="G109" s="1" t="s">
        <v>607</v>
      </c>
      <c r="H109" s="1" t="s">
        <v>608</v>
      </c>
      <c r="K109" s="1" t="s">
        <v>609</v>
      </c>
    </row>
    <row r="110" spans="1:11">
      <c r="A110" s="1" t="s">
        <v>66</v>
      </c>
      <c r="B110" s="1" t="s">
        <v>134</v>
      </c>
      <c r="C110" s="1">
        <v>6</v>
      </c>
      <c r="D110" s="1" t="s">
        <v>610</v>
      </c>
      <c r="G110" s="1" t="s">
        <v>611</v>
      </c>
    </row>
    <row r="112" spans="1:11">
      <c r="A112" s="1" t="s">
        <v>653</v>
      </c>
      <c r="B112" s="1" t="s">
        <v>41</v>
      </c>
      <c r="C112" s="1">
        <v>5</v>
      </c>
      <c r="D112" s="1" t="s">
        <v>1600</v>
      </c>
      <c r="G112" s="1" t="s">
        <v>1722</v>
      </c>
    </row>
    <row r="113" spans="1:11">
      <c r="A113" s="1" t="s">
        <v>653</v>
      </c>
      <c r="B113" s="1" t="s">
        <v>41</v>
      </c>
      <c r="C113" s="1">
        <v>5</v>
      </c>
      <c r="D113" s="1" t="s">
        <v>1601</v>
      </c>
      <c r="E113" s="1" t="s">
        <v>140</v>
      </c>
      <c r="G113" s="1" t="s">
        <v>293</v>
      </c>
    </row>
    <row r="114" spans="1:11">
      <c r="A114" s="1" t="s">
        <v>653</v>
      </c>
      <c r="B114" s="1" t="s">
        <v>41</v>
      </c>
      <c r="C114" s="1">
        <v>5</v>
      </c>
      <c r="D114" s="1" t="s">
        <v>1602</v>
      </c>
      <c r="E114" s="1" t="s">
        <v>294</v>
      </c>
      <c r="F114" s="1" t="s">
        <v>954</v>
      </c>
      <c r="G114" s="1" t="s">
        <v>1605</v>
      </c>
    </row>
    <row r="115" spans="1:11">
      <c r="A115" s="1" t="s">
        <v>653</v>
      </c>
      <c r="B115" s="1" t="s">
        <v>41</v>
      </c>
      <c r="C115" s="1">
        <v>5</v>
      </c>
      <c r="D115" s="1" t="s">
        <v>1603</v>
      </c>
      <c r="E115" s="1" t="s">
        <v>553</v>
      </c>
      <c r="F115" s="1" t="s">
        <v>1607</v>
      </c>
      <c r="G115" s="1" t="s">
        <v>1608</v>
      </c>
      <c r="H115" s="1" t="s">
        <v>489</v>
      </c>
    </row>
    <row r="116" spans="1:11">
      <c r="A116" s="1" t="s">
        <v>653</v>
      </c>
      <c r="B116" s="1" t="s">
        <v>41</v>
      </c>
      <c r="C116" s="1">
        <v>5</v>
      </c>
      <c r="D116" s="1" t="s">
        <v>1604</v>
      </c>
      <c r="E116" s="1" t="s">
        <v>553</v>
      </c>
      <c r="F116" s="1" t="s">
        <v>1607</v>
      </c>
      <c r="G116" s="1" t="s">
        <v>1609</v>
      </c>
      <c r="I116" s="1" t="s">
        <v>544</v>
      </c>
    </row>
    <row r="117" spans="1:11">
      <c r="A117" s="1" t="s">
        <v>653</v>
      </c>
      <c r="B117" s="1" t="s">
        <v>127</v>
      </c>
      <c r="C117" s="1">
        <v>8</v>
      </c>
      <c r="D117" s="1" t="s">
        <v>1611</v>
      </c>
      <c r="E117" s="1" t="s">
        <v>852</v>
      </c>
      <c r="G117" s="1" t="s">
        <v>133</v>
      </c>
    </row>
    <row r="118" spans="1:11">
      <c r="A118" s="1" t="s">
        <v>653</v>
      </c>
      <c r="B118" s="1" t="s">
        <v>127</v>
      </c>
      <c r="C118" s="1">
        <v>8</v>
      </c>
      <c r="D118" s="1" t="s">
        <v>1612</v>
      </c>
      <c r="E118" s="1" t="s">
        <v>852</v>
      </c>
      <c r="F118" s="1" t="s">
        <v>1624</v>
      </c>
      <c r="G118" s="1" t="s">
        <v>1619</v>
      </c>
      <c r="J118" s="1" t="s">
        <v>1620</v>
      </c>
    </row>
    <row r="119" spans="1:11">
      <c r="A119" s="1" t="s">
        <v>653</v>
      </c>
      <c r="B119" s="1" t="s">
        <v>127</v>
      </c>
      <c r="C119" s="1">
        <v>8</v>
      </c>
      <c r="D119" s="1" t="s">
        <v>1613</v>
      </c>
      <c r="E119" s="1" t="s">
        <v>852</v>
      </c>
      <c r="F119" s="1" t="s">
        <v>1624</v>
      </c>
      <c r="G119" s="1" t="s">
        <v>1618</v>
      </c>
    </row>
    <row r="120" spans="1:11">
      <c r="A120" s="1" t="s">
        <v>653</v>
      </c>
      <c r="B120" s="1" t="s">
        <v>127</v>
      </c>
      <c r="C120" s="1">
        <v>8</v>
      </c>
      <c r="D120" s="1" t="s">
        <v>1614</v>
      </c>
      <c r="E120" s="1" t="s">
        <v>852</v>
      </c>
      <c r="F120" s="1" t="s">
        <v>1621</v>
      </c>
      <c r="G120" s="1" t="s">
        <v>908</v>
      </c>
    </row>
    <row r="121" spans="1:11">
      <c r="A121" s="1" t="s">
        <v>653</v>
      </c>
      <c r="B121" s="1" t="s">
        <v>127</v>
      </c>
      <c r="C121" s="1">
        <v>8</v>
      </c>
      <c r="D121" s="1" t="s">
        <v>1610</v>
      </c>
      <c r="E121" s="1" t="s">
        <v>1721</v>
      </c>
      <c r="F121" s="1" t="s">
        <v>1718</v>
      </c>
      <c r="H121" s="1" t="s">
        <v>1688</v>
      </c>
    </row>
    <row r="122" spans="1:11">
      <c r="A122" s="1" t="s">
        <v>653</v>
      </c>
      <c r="B122" s="1" t="s">
        <v>127</v>
      </c>
      <c r="C122" s="1">
        <v>8</v>
      </c>
      <c r="D122" s="1" t="s">
        <v>1616</v>
      </c>
      <c r="E122" s="1" t="s">
        <v>1721</v>
      </c>
      <c r="F122" s="1" t="s">
        <v>1719</v>
      </c>
      <c r="G122" s="1" t="s">
        <v>697</v>
      </c>
      <c r="H122" s="1" t="s">
        <v>493</v>
      </c>
    </row>
    <row r="123" spans="1:11">
      <c r="A123" s="1" t="s">
        <v>653</v>
      </c>
      <c r="B123" s="1" t="s">
        <v>127</v>
      </c>
      <c r="C123" s="1">
        <v>8</v>
      </c>
      <c r="D123" s="1" t="s">
        <v>1617</v>
      </c>
      <c r="E123" s="1" t="s">
        <v>1721</v>
      </c>
      <c r="F123" s="1" t="s">
        <v>108</v>
      </c>
      <c r="G123" s="1" t="s">
        <v>183</v>
      </c>
    </row>
    <row r="124" spans="1:11">
      <c r="A124" s="1" t="s">
        <v>653</v>
      </c>
      <c r="B124" s="1" t="s">
        <v>127</v>
      </c>
      <c r="C124" s="1">
        <v>8</v>
      </c>
      <c r="D124" s="1" t="s">
        <v>1615</v>
      </c>
      <c r="E124" s="1" t="s">
        <v>1721</v>
      </c>
      <c r="F124" s="1" t="s">
        <v>1720</v>
      </c>
      <c r="G124" s="1" t="s">
        <v>1622</v>
      </c>
      <c r="H124" s="1" t="s">
        <v>1623</v>
      </c>
    </row>
    <row r="126" spans="1:11">
      <c r="A126" s="1" t="s">
        <v>143</v>
      </c>
      <c r="B126" s="1" t="s">
        <v>88</v>
      </c>
      <c r="C126" s="1">
        <v>2</v>
      </c>
      <c r="D126" s="1" t="s">
        <v>514</v>
      </c>
      <c r="F126" s="1" t="s">
        <v>1683</v>
      </c>
      <c r="G126" s="1" t="s">
        <v>515</v>
      </c>
      <c r="H126" s="1" t="s">
        <v>1684</v>
      </c>
      <c r="J126" s="1" t="s">
        <v>516</v>
      </c>
      <c r="K126" s="1" t="s">
        <v>517</v>
      </c>
    </row>
    <row r="127" spans="1:11">
      <c r="A127" s="1" t="s">
        <v>143</v>
      </c>
      <c r="B127" s="1" t="s">
        <v>88</v>
      </c>
      <c r="C127" s="1">
        <v>2</v>
      </c>
      <c r="D127" s="1" t="s">
        <v>518</v>
      </c>
      <c r="G127" s="1" t="s">
        <v>519</v>
      </c>
      <c r="H127" s="1" t="s">
        <v>520</v>
      </c>
      <c r="J127" s="1" t="s">
        <v>521</v>
      </c>
    </row>
    <row r="128" spans="1:11">
      <c r="A128" s="1" t="s">
        <v>143</v>
      </c>
      <c r="B128" s="1" t="s">
        <v>145</v>
      </c>
      <c r="C128" s="1">
        <v>2</v>
      </c>
      <c r="D128" s="1" t="s">
        <v>522</v>
      </c>
      <c r="G128" s="1" t="s">
        <v>523</v>
      </c>
      <c r="J128" s="1" t="s">
        <v>524</v>
      </c>
    </row>
    <row r="129" spans="1:11">
      <c r="A129" s="1" t="s">
        <v>143</v>
      </c>
      <c r="B129" s="1" t="s">
        <v>145</v>
      </c>
      <c r="C129" s="1">
        <v>2</v>
      </c>
      <c r="D129" s="1" t="s">
        <v>525</v>
      </c>
      <c r="G129" s="1" t="s">
        <v>526</v>
      </c>
    </row>
    <row r="130" spans="1:11">
      <c r="A130" s="1" t="s">
        <v>143</v>
      </c>
      <c r="B130" s="1" t="s">
        <v>527</v>
      </c>
      <c r="C130" s="1">
        <v>2</v>
      </c>
      <c r="D130" s="1" t="s">
        <v>528</v>
      </c>
      <c r="F130" s="1" t="s">
        <v>527</v>
      </c>
      <c r="G130" s="1" t="s">
        <v>523</v>
      </c>
    </row>
    <row r="131" spans="1:11">
      <c r="A131" s="1" t="s">
        <v>143</v>
      </c>
      <c r="B131" s="1" t="s">
        <v>527</v>
      </c>
      <c r="C131" s="1">
        <v>2</v>
      </c>
      <c r="D131" s="1" t="s">
        <v>529</v>
      </c>
      <c r="F131" s="1" t="s">
        <v>184</v>
      </c>
      <c r="G131" s="1" t="s">
        <v>160</v>
      </c>
      <c r="J131" s="1" t="s">
        <v>530</v>
      </c>
    </row>
    <row r="132" spans="1:11">
      <c r="A132" s="1" t="s">
        <v>143</v>
      </c>
      <c r="B132" s="1" t="s">
        <v>148</v>
      </c>
      <c r="C132" s="1">
        <v>3</v>
      </c>
      <c r="D132" s="1" t="s">
        <v>531</v>
      </c>
      <c r="K132" s="1" t="s">
        <v>532</v>
      </c>
    </row>
    <row r="133" spans="1:11">
      <c r="A133" s="1" t="s">
        <v>143</v>
      </c>
      <c r="B133" s="1" t="s">
        <v>148</v>
      </c>
      <c r="C133" s="1">
        <v>3</v>
      </c>
      <c r="D133" s="1" t="s">
        <v>533</v>
      </c>
      <c r="G133" s="1" t="s">
        <v>90</v>
      </c>
      <c r="H133" s="1" t="s">
        <v>534</v>
      </c>
    </row>
    <row r="134" spans="1:11">
      <c r="A134" s="1" t="s">
        <v>143</v>
      </c>
      <c r="B134" s="1" t="s">
        <v>148</v>
      </c>
      <c r="C134" s="1">
        <v>3</v>
      </c>
      <c r="D134" s="1" t="s">
        <v>535</v>
      </c>
      <c r="F134" s="1" t="s">
        <v>536</v>
      </c>
      <c r="G134" s="1" t="s">
        <v>537</v>
      </c>
      <c r="J134" s="1" t="s">
        <v>538</v>
      </c>
    </row>
    <row r="135" spans="1:11">
      <c r="A135" s="1" t="s">
        <v>143</v>
      </c>
      <c r="B135" s="1" t="s">
        <v>539</v>
      </c>
      <c r="C135" s="1">
        <v>8</v>
      </c>
      <c r="D135" s="1" t="s">
        <v>540</v>
      </c>
      <c r="E135" s="1" t="s">
        <v>541</v>
      </c>
      <c r="G135" s="1" t="s">
        <v>523</v>
      </c>
    </row>
    <row r="136" spans="1:11">
      <c r="A136" s="1" t="s">
        <v>143</v>
      </c>
      <c r="B136" s="1" t="s">
        <v>539</v>
      </c>
      <c r="C136" s="1">
        <v>8</v>
      </c>
      <c r="D136" s="1" t="s">
        <v>542</v>
      </c>
      <c r="E136" s="1" t="s">
        <v>294</v>
      </c>
    </row>
    <row r="137" spans="1:11">
      <c r="A137" s="1" t="s">
        <v>143</v>
      </c>
      <c r="B137" s="1" t="s">
        <v>539</v>
      </c>
      <c r="C137" s="1">
        <v>8</v>
      </c>
      <c r="D137" s="1" t="s">
        <v>543</v>
      </c>
      <c r="E137" s="1" t="s">
        <v>183</v>
      </c>
      <c r="F137" s="1" t="s">
        <v>1685</v>
      </c>
      <c r="G137" s="1" t="s">
        <v>132</v>
      </c>
    </row>
    <row r="138" spans="1:11">
      <c r="A138" s="1" t="s">
        <v>143</v>
      </c>
      <c r="B138" s="1" t="s">
        <v>539</v>
      </c>
      <c r="C138" s="1">
        <v>8</v>
      </c>
      <c r="D138" s="1" t="s">
        <v>545</v>
      </c>
      <c r="E138" s="1" t="s">
        <v>183</v>
      </c>
      <c r="G138" s="1" t="s">
        <v>546</v>
      </c>
      <c r="H138" s="1" t="s">
        <v>796</v>
      </c>
      <c r="J138" s="1" t="s">
        <v>547</v>
      </c>
    </row>
    <row r="139" spans="1:11">
      <c r="A139" s="1" t="s">
        <v>143</v>
      </c>
      <c r="B139" s="1" t="s">
        <v>539</v>
      </c>
      <c r="C139" s="1">
        <v>8</v>
      </c>
      <c r="D139" s="1" t="s">
        <v>548</v>
      </c>
      <c r="E139" s="1" t="s">
        <v>71</v>
      </c>
      <c r="G139" s="1" t="s">
        <v>147</v>
      </c>
      <c r="H139" s="1" t="s">
        <v>549</v>
      </c>
    </row>
    <row r="140" spans="1:11">
      <c r="A140" s="1" t="s">
        <v>143</v>
      </c>
      <c r="B140" s="1" t="s">
        <v>539</v>
      </c>
      <c r="C140" s="1">
        <v>8</v>
      </c>
      <c r="D140" s="1" t="s">
        <v>550</v>
      </c>
      <c r="E140" s="1" t="s">
        <v>71</v>
      </c>
      <c r="G140" s="1" t="s">
        <v>551</v>
      </c>
    </row>
    <row r="141" spans="1:11">
      <c r="A141" s="1" t="s">
        <v>143</v>
      </c>
      <c r="B141" s="1" t="s">
        <v>539</v>
      </c>
      <c r="C141" s="1">
        <v>8</v>
      </c>
      <c r="D141" s="1" t="s">
        <v>552</v>
      </c>
      <c r="E141" s="1" t="s">
        <v>553</v>
      </c>
      <c r="G141" s="1" t="s">
        <v>554</v>
      </c>
      <c r="H141" s="1" t="s">
        <v>555</v>
      </c>
    </row>
    <row r="142" spans="1:11">
      <c r="A142" s="1" t="s">
        <v>143</v>
      </c>
      <c r="B142" s="1" t="s">
        <v>539</v>
      </c>
      <c r="C142" s="1">
        <v>8</v>
      </c>
      <c r="D142" s="1" t="s">
        <v>556</v>
      </c>
      <c r="E142" s="1" t="s">
        <v>553</v>
      </c>
      <c r="G142" s="1" t="s">
        <v>557</v>
      </c>
      <c r="H142" s="1" t="s">
        <v>558</v>
      </c>
    </row>
    <row r="144" spans="1:11">
      <c r="A144" s="1" t="s">
        <v>665</v>
      </c>
      <c r="B144" s="1" t="s">
        <v>88</v>
      </c>
      <c r="C144" s="1">
        <v>5</v>
      </c>
      <c r="D144" s="1" t="s">
        <v>1625</v>
      </c>
      <c r="J144" s="1" t="s">
        <v>578</v>
      </c>
    </row>
    <row r="145" spans="1:10">
      <c r="A145" s="1" t="s">
        <v>665</v>
      </c>
      <c r="B145" s="1" t="s">
        <v>88</v>
      </c>
      <c r="C145" s="1">
        <v>5</v>
      </c>
      <c r="D145" s="1" t="s">
        <v>1626</v>
      </c>
      <c r="G145" s="1" t="s">
        <v>1542</v>
      </c>
    </row>
    <row r="146" spans="1:10">
      <c r="A146" s="1" t="s">
        <v>665</v>
      </c>
      <c r="B146" s="1" t="s">
        <v>88</v>
      </c>
      <c r="C146" s="1">
        <v>5</v>
      </c>
      <c r="D146" s="1" t="s">
        <v>1627</v>
      </c>
      <c r="G146" s="1" t="s">
        <v>1630</v>
      </c>
    </row>
    <row r="147" spans="1:10">
      <c r="A147" s="1" t="s">
        <v>665</v>
      </c>
      <c r="B147" s="1" t="s">
        <v>88</v>
      </c>
      <c r="C147" s="1">
        <v>5</v>
      </c>
      <c r="D147" s="1" t="s">
        <v>1628</v>
      </c>
      <c r="F147" s="1" t="s">
        <v>526</v>
      </c>
      <c r="G147" s="1" t="s">
        <v>1632</v>
      </c>
      <c r="H147" s="1" t="s">
        <v>1631</v>
      </c>
      <c r="J147" s="1" t="s">
        <v>526</v>
      </c>
    </row>
    <row r="148" spans="1:10">
      <c r="A148" s="1" t="s">
        <v>665</v>
      </c>
      <c r="B148" s="1" t="s">
        <v>88</v>
      </c>
      <c r="C148" s="1">
        <v>5</v>
      </c>
      <c r="D148" s="1" t="s">
        <v>1629</v>
      </c>
      <c r="F148" s="1" t="s">
        <v>526</v>
      </c>
      <c r="G148" s="1" t="s">
        <v>376</v>
      </c>
    </row>
    <row r="149" spans="1:10">
      <c r="A149" s="1" t="s">
        <v>665</v>
      </c>
      <c r="B149" s="1" t="s">
        <v>184</v>
      </c>
      <c r="C149" s="1">
        <v>3</v>
      </c>
      <c r="D149" s="1" t="s">
        <v>1633</v>
      </c>
      <c r="G149" s="1" t="s">
        <v>1634</v>
      </c>
    </row>
    <row r="150" spans="1:10">
      <c r="A150" s="1" t="s">
        <v>665</v>
      </c>
      <c r="B150" s="1" t="s">
        <v>184</v>
      </c>
      <c r="C150" s="1">
        <v>3</v>
      </c>
      <c r="D150" s="1" t="s">
        <v>1635</v>
      </c>
      <c r="G150" s="1" t="s">
        <v>1636</v>
      </c>
      <c r="H150" s="1" t="s">
        <v>1688</v>
      </c>
    </row>
    <row r="151" spans="1:10">
      <c r="A151" s="1" t="s">
        <v>665</v>
      </c>
      <c r="B151" s="1" t="s">
        <v>184</v>
      </c>
      <c r="C151" s="1">
        <v>3</v>
      </c>
      <c r="D151" s="1" t="s">
        <v>1637</v>
      </c>
      <c r="G151" s="1" t="s">
        <v>1687</v>
      </c>
    </row>
    <row r="152" spans="1:10">
      <c r="A152" s="1" t="s">
        <v>665</v>
      </c>
      <c r="B152" s="1" t="s">
        <v>668</v>
      </c>
      <c r="C152" s="1">
        <v>2</v>
      </c>
      <c r="D152" s="1" t="s">
        <v>1638</v>
      </c>
    </row>
    <row r="153" spans="1:10">
      <c r="A153" s="1" t="s">
        <v>665</v>
      </c>
      <c r="B153" s="1" t="s">
        <v>668</v>
      </c>
      <c r="C153" s="1">
        <v>2</v>
      </c>
      <c r="D153" s="1" t="s">
        <v>1477</v>
      </c>
      <c r="G153" s="1" t="s">
        <v>1639</v>
      </c>
      <c r="J153" s="1" t="s">
        <v>1689</v>
      </c>
    </row>
    <row r="154" spans="1:10">
      <c r="A154" s="1" t="s">
        <v>665</v>
      </c>
      <c r="B154" s="1" t="s">
        <v>409</v>
      </c>
      <c r="C154" s="1">
        <v>4</v>
      </c>
      <c r="D154" s="1" t="s">
        <v>1640</v>
      </c>
    </row>
    <row r="155" spans="1:10">
      <c r="A155" s="1" t="s">
        <v>665</v>
      </c>
      <c r="B155" s="1" t="s">
        <v>409</v>
      </c>
      <c r="C155" s="1">
        <v>4</v>
      </c>
      <c r="D155" s="1" t="s">
        <v>1641</v>
      </c>
      <c r="G155" s="1" t="s">
        <v>183</v>
      </c>
      <c r="H155" s="1" t="s">
        <v>1646</v>
      </c>
    </row>
    <row r="156" spans="1:10">
      <c r="A156" s="1" t="s">
        <v>665</v>
      </c>
      <c r="B156" s="1" t="s">
        <v>409</v>
      </c>
      <c r="C156" s="1">
        <v>4</v>
      </c>
      <c r="D156" s="1" t="s">
        <v>1643</v>
      </c>
      <c r="G156" s="1" t="s">
        <v>767</v>
      </c>
      <c r="H156" s="1" t="s">
        <v>1647</v>
      </c>
    </row>
    <row r="157" spans="1:10">
      <c r="A157" s="1" t="s">
        <v>665</v>
      </c>
      <c r="B157" s="1" t="s">
        <v>409</v>
      </c>
      <c r="C157" s="1">
        <v>4</v>
      </c>
      <c r="D157" s="1" t="s">
        <v>1642</v>
      </c>
      <c r="G157" s="1" t="s">
        <v>794</v>
      </c>
    </row>
    <row r="158" spans="1:10">
      <c r="A158" s="1" t="s">
        <v>665</v>
      </c>
      <c r="B158" s="1" t="s">
        <v>410</v>
      </c>
      <c r="C158" s="1">
        <v>2</v>
      </c>
      <c r="D158" s="1" t="s">
        <v>1644</v>
      </c>
      <c r="G158" s="1" t="s">
        <v>1647</v>
      </c>
    </row>
    <row r="159" spans="1:10">
      <c r="A159" s="1" t="s">
        <v>665</v>
      </c>
      <c r="B159" s="1" t="s">
        <v>410</v>
      </c>
      <c r="C159" s="1">
        <v>2</v>
      </c>
      <c r="D159" s="1" t="s">
        <v>1645</v>
      </c>
    </row>
    <row r="160" spans="1:10">
      <c r="A160" s="1" t="s">
        <v>665</v>
      </c>
      <c r="B160" s="1" t="s">
        <v>670</v>
      </c>
      <c r="C160" s="1">
        <v>1</v>
      </c>
      <c r="D160" s="1" t="s">
        <v>1648</v>
      </c>
      <c r="G160" s="1" t="s">
        <v>1649</v>
      </c>
    </row>
    <row r="162" spans="1:10">
      <c r="A162" s="1" t="s">
        <v>671</v>
      </c>
      <c r="B162" s="1" t="s">
        <v>90</v>
      </c>
      <c r="C162" s="1">
        <v>2</v>
      </c>
      <c r="D162" s="1" t="s">
        <v>1650</v>
      </c>
      <c r="F162" s="1" t="s">
        <v>1653</v>
      </c>
      <c r="G162" s="1" t="s">
        <v>1652</v>
      </c>
      <c r="H162" s="1" t="s">
        <v>1654</v>
      </c>
      <c r="J162" s="1" t="s">
        <v>697</v>
      </c>
    </row>
    <row r="163" spans="1:10">
      <c r="A163" s="1" t="s">
        <v>671</v>
      </c>
      <c r="B163" s="1" t="s">
        <v>90</v>
      </c>
      <c r="C163" s="1">
        <v>2</v>
      </c>
      <c r="D163" s="1" t="s">
        <v>1651</v>
      </c>
      <c r="G163" s="1" t="s">
        <v>697</v>
      </c>
    </row>
    <row r="164" spans="1:10">
      <c r="A164" s="1" t="s">
        <v>671</v>
      </c>
      <c r="B164" s="1" t="s">
        <v>486</v>
      </c>
      <c r="C164" s="1">
        <v>3</v>
      </c>
      <c r="D164" s="1" t="s">
        <v>1655</v>
      </c>
      <c r="G164" s="1" t="s">
        <v>410</v>
      </c>
      <c r="J164" s="1" t="s">
        <v>1735</v>
      </c>
    </row>
    <row r="165" spans="1:10">
      <c r="A165" s="1" t="s">
        <v>671</v>
      </c>
      <c r="B165" s="1" t="s">
        <v>486</v>
      </c>
      <c r="C165" s="1">
        <v>3</v>
      </c>
      <c r="D165" s="1" t="s">
        <v>1656</v>
      </c>
      <c r="G165" s="1" t="s">
        <v>409</v>
      </c>
      <c r="H165" s="1" t="s">
        <v>1658</v>
      </c>
    </row>
    <row r="166" spans="1:10">
      <c r="A166" s="1" t="s">
        <v>671</v>
      </c>
      <c r="B166" s="1" t="s">
        <v>486</v>
      </c>
      <c r="C166" s="1">
        <v>3</v>
      </c>
      <c r="D166" s="1" t="s">
        <v>1657</v>
      </c>
      <c r="G166" s="1" t="s">
        <v>88</v>
      </c>
      <c r="H166" s="1" t="s">
        <v>90</v>
      </c>
      <c r="J166" s="1" t="s">
        <v>1659</v>
      </c>
    </row>
    <row r="167" spans="1:10">
      <c r="A167" s="1" t="s">
        <v>671</v>
      </c>
      <c r="B167" s="1" t="s">
        <v>679</v>
      </c>
      <c r="C167" s="1">
        <v>2</v>
      </c>
      <c r="D167" s="1" t="s">
        <v>1660</v>
      </c>
    </row>
    <row r="168" spans="1:10">
      <c r="A168" s="1" t="s">
        <v>671</v>
      </c>
      <c r="B168" s="1" t="s">
        <v>679</v>
      </c>
      <c r="C168" s="1">
        <v>2</v>
      </c>
      <c r="D168" s="1" t="s">
        <v>1661</v>
      </c>
      <c r="G168" s="1" t="s">
        <v>1662</v>
      </c>
      <c r="J168" s="1" t="s">
        <v>1736</v>
      </c>
    </row>
    <row r="169" spans="1:10">
      <c r="A169" s="1" t="s">
        <v>671</v>
      </c>
      <c r="B169" s="1" t="s">
        <v>682</v>
      </c>
      <c r="C169" s="1">
        <v>2</v>
      </c>
      <c r="D169" s="1" t="s">
        <v>1663</v>
      </c>
      <c r="F169" s="1" t="s">
        <v>66</v>
      </c>
      <c r="G169" s="1" t="s">
        <v>1682</v>
      </c>
      <c r="J169" s="1" t="s">
        <v>1739</v>
      </c>
    </row>
    <row r="170" spans="1:10">
      <c r="A170" s="1" t="s">
        <v>671</v>
      </c>
      <c r="B170" s="1" t="s">
        <v>682</v>
      </c>
      <c r="C170" s="1">
        <v>2</v>
      </c>
      <c r="D170" s="1" t="s">
        <v>1664</v>
      </c>
      <c r="G170" s="1" t="s">
        <v>1665</v>
      </c>
      <c r="J170" s="1" t="s">
        <v>1666</v>
      </c>
    </row>
    <row r="171" spans="1:10">
      <c r="A171" s="1" t="s">
        <v>671</v>
      </c>
      <c r="B171" s="1" t="s">
        <v>133</v>
      </c>
      <c r="C171" s="1">
        <v>3</v>
      </c>
      <c r="D171" s="1" t="s">
        <v>1667</v>
      </c>
      <c r="F171" s="1" t="s">
        <v>1732</v>
      </c>
      <c r="G171" s="1" t="s">
        <v>1670</v>
      </c>
    </row>
    <row r="172" spans="1:10">
      <c r="A172" s="1" t="s">
        <v>671</v>
      </c>
      <c r="B172" s="1" t="s">
        <v>133</v>
      </c>
      <c r="C172" s="1">
        <v>3</v>
      </c>
      <c r="D172" s="1" t="s">
        <v>1668</v>
      </c>
      <c r="F172" s="1" t="s">
        <v>1733</v>
      </c>
      <c r="G172" s="1" t="s">
        <v>486</v>
      </c>
    </row>
    <row r="173" spans="1:10">
      <c r="A173" s="1" t="s">
        <v>671</v>
      </c>
      <c r="B173" s="1" t="s">
        <v>133</v>
      </c>
      <c r="C173" s="1">
        <v>3</v>
      </c>
      <c r="D173" s="1" t="s">
        <v>1669</v>
      </c>
      <c r="F173" s="1" t="s">
        <v>1671</v>
      </c>
      <c r="G173" s="1" t="s">
        <v>1672</v>
      </c>
      <c r="H173" s="1" t="s">
        <v>1672</v>
      </c>
    </row>
    <row r="174" spans="1:10">
      <c r="A174" s="1" t="s">
        <v>671</v>
      </c>
      <c r="B174" s="1" t="s">
        <v>143</v>
      </c>
      <c r="C174" s="1">
        <v>7</v>
      </c>
      <c r="D174" s="1" t="s">
        <v>1673</v>
      </c>
      <c r="E174" s="1">
        <v>238</v>
      </c>
    </row>
    <row r="175" spans="1:10">
      <c r="A175" s="1" t="s">
        <v>671</v>
      </c>
      <c r="B175" s="1" t="s">
        <v>143</v>
      </c>
      <c r="C175" s="1">
        <v>7</v>
      </c>
      <c r="D175" s="1" t="s">
        <v>1674</v>
      </c>
      <c r="E175" s="1">
        <v>238</v>
      </c>
      <c r="G175" s="1" t="s">
        <v>1680</v>
      </c>
    </row>
    <row r="176" spans="1:10">
      <c r="A176" s="1" t="s">
        <v>671</v>
      </c>
      <c r="B176" s="1" t="s">
        <v>143</v>
      </c>
      <c r="C176" s="1">
        <v>7</v>
      </c>
      <c r="D176" s="1" t="s">
        <v>1675</v>
      </c>
      <c r="E176" s="1">
        <v>238</v>
      </c>
      <c r="G176" s="1" t="s">
        <v>293</v>
      </c>
      <c r="J176" s="1" t="s">
        <v>1737</v>
      </c>
    </row>
    <row r="177" spans="1:10">
      <c r="A177" s="1" t="s">
        <v>671</v>
      </c>
      <c r="B177" s="1" t="s">
        <v>143</v>
      </c>
      <c r="C177" s="1">
        <v>7</v>
      </c>
      <c r="D177" s="1" t="s">
        <v>1676</v>
      </c>
      <c r="E177" s="1" t="s">
        <v>1734</v>
      </c>
      <c r="F177" s="1" t="s">
        <v>742</v>
      </c>
      <c r="G177" s="1" t="s">
        <v>1681</v>
      </c>
    </row>
    <row r="178" spans="1:10">
      <c r="A178" s="1" t="s">
        <v>671</v>
      </c>
      <c r="B178" s="1" t="s">
        <v>143</v>
      </c>
      <c r="C178" s="1">
        <v>7</v>
      </c>
      <c r="D178" s="1" t="s">
        <v>1679</v>
      </c>
      <c r="E178" s="1" t="s">
        <v>1734</v>
      </c>
      <c r="F178" s="1" t="s">
        <v>164</v>
      </c>
      <c r="G178" s="1" t="s">
        <v>1682</v>
      </c>
      <c r="H178" s="1" t="s">
        <v>1571</v>
      </c>
      <c r="J178" s="1" t="s">
        <v>1738</v>
      </c>
    </row>
    <row r="179" spans="1:10">
      <c r="A179" s="1" t="s">
        <v>671</v>
      </c>
      <c r="B179" s="1" t="s">
        <v>143</v>
      </c>
      <c r="C179" s="1">
        <v>7</v>
      </c>
      <c r="D179" s="1" t="s">
        <v>1678</v>
      </c>
      <c r="E179" s="1" t="s">
        <v>1734</v>
      </c>
      <c r="F179" s="1" t="s">
        <v>96</v>
      </c>
      <c r="G179" s="1" t="s">
        <v>170</v>
      </c>
    </row>
    <row r="180" spans="1:10">
      <c r="A180" s="1" t="s">
        <v>671</v>
      </c>
      <c r="B180" s="1" t="s">
        <v>143</v>
      </c>
      <c r="C180" s="1">
        <v>7</v>
      </c>
      <c r="D180" s="1" t="s">
        <v>1677</v>
      </c>
      <c r="G180" s="1" t="s">
        <v>161</v>
      </c>
    </row>
  </sheetData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D155A-BF2B-4D81-AEB3-B117136BF50B}">
  <sheetPr codeName="Sheet4"/>
  <dimension ref="A1:R69"/>
  <sheetViews>
    <sheetView topLeftCell="A7" zoomScaleNormal="100" workbookViewId="0">
      <selection activeCell="E17" sqref="E17"/>
    </sheetView>
  </sheetViews>
  <sheetFormatPr defaultColWidth="8.75" defaultRowHeight="17.399999999999999"/>
  <cols>
    <col min="1" max="1" width="7.83203125" style="1" bestFit="1" customWidth="1"/>
    <col min="2" max="2" width="4.4140625" style="1" customWidth="1"/>
    <col min="3" max="3" width="6.1640625" style="1" bestFit="1" customWidth="1"/>
    <col min="4" max="4" width="4.75" style="1" customWidth="1"/>
    <col min="5" max="5" width="29.1640625" style="1" customWidth="1"/>
    <col min="6" max="6" width="27.4140625" style="1" customWidth="1"/>
    <col min="7" max="7" width="7.83203125" style="1" bestFit="1" customWidth="1"/>
    <col min="9" max="9" width="4.4140625" style="4" customWidth="1"/>
    <col min="10" max="10" width="4.75" style="1" customWidth="1"/>
    <col min="11" max="14" width="8.75" style="1"/>
    <col min="17" max="16384" width="8.75" style="1"/>
  </cols>
  <sheetData>
    <row r="1" spans="1:18">
      <c r="B1" s="1" t="s">
        <v>688</v>
      </c>
      <c r="I1" s="4" t="s">
        <v>687</v>
      </c>
    </row>
    <row r="2" spans="1:18">
      <c r="A2" s="1" t="s">
        <v>302</v>
      </c>
      <c r="B2" s="1">
        <v>1</v>
      </c>
      <c r="E2" s="1" t="s">
        <v>614</v>
      </c>
      <c r="I2" s="4">
        <v>12</v>
      </c>
      <c r="R2" s="1">
        <f t="shared" ref="R2:R47" si="0">IF(ISBLANK(A2),,IF(ISBLANK(C2),1,0))</f>
        <v>1</v>
      </c>
    </row>
    <row r="3" spans="1:18">
      <c r="A3" s="1" t="s">
        <v>559</v>
      </c>
      <c r="B3" s="1">
        <v>3</v>
      </c>
      <c r="E3" s="1" t="s">
        <v>619</v>
      </c>
      <c r="I3" s="4">
        <v>3</v>
      </c>
      <c r="R3" s="1">
        <f t="shared" si="0"/>
        <v>1</v>
      </c>
    </row>
    <row r="4" spans="1:18">
      <c r="A4" s="1" t="s">
        <v>280</v>
      </c>
      <c r="B4" s="1">
        <v>3</v>
      </c>
      <c r="E4" s="1" t="s">
        <v>615</v>
      </c>
      <c r="F4" s="1" t="s">
        <v>1510</v>
      </c>
      <c r="I4" s="4">
        <v>11</v>
      </c>
      <c r="R4" s="1">
        <f t="shared" si="0"/>
        <v>1</v>
      </c>
    </row>
    <row r="5" spans="1:18">
      <c r="A5" s="1" t="s">
        <v>579</v>
      </c>
      <c r="B5" s="1">
        <v>3</v>
      </c>
      <c r="E5" s="1" t="s">
        <v>617</v>
      </c>
      <c r="F5" s="1" t="s">
        <v>618</v>
      </c>
      <c r="I5" s="4">
        <v>18</v>
      </c>
      <c r="R5" s="1">
        <f t="shared" si="0"/>
        <v>1</v>
      </c>
    </row>
    <row r="6" spans="1:18">
      <c r="A6" s="1" t="s">
        <v>139</v>
      </c>
      <c r="B6" s="1">
        <v>3</v>
      </c>
      <c r="E6" s="1" t="s">
        <v>616</v>
      </c>
      <c r="I6" s="4">
        <v>20</v>
      </c>
      <c r="R6" s="1">
        <f t="shared" si="0"/>
        <v>1</v>
      </c>
    </row>
    <row r="7" spans="1:18">
      <c r="A7" s="1" t="s">
        <v>417</v>
      </c>
      <c r="B7" s="1">
        <v>4</v>
      </c>
      <c r="E7" s="1" t="s">
        <v>620</v>
      </c>
      <c r="F7" s="1" t="s">
        <v>621</v>
      </c>
      <c r="I7" s="4">
        <v>15</v>
      </c>
      <c r="R7" s="1">
        <f t="shared" si="0"/>
        <v>1</v>
      </c>
    </row>
    <row r="8" spans="1:18">
      <c r="A8" s="1" t="s">
        <v>190</v>
      </c>
      <c r="B8" s="1">
        <v>4</v>
      </c>
      <c r="E8" s="1" t="s">
        <v>622</v>
      </c>
      <c r="F8" s="1" t="s">
        <v>623</v>
      </c>
      <c r="I8" s="4">
        <v>19</v>
      </c>
      <c r="R8" s="1">
        <f t="shared" si="0"/>
        <v>1</v>
      </c>
    </row>
    <row r="9" spans="1:18">
      <c r="A9" s="1" t="s">
        <v>498</v>
      </c>
      <c r="B9" s="1">
        <v>6</v>
      </c>
      <c r="E9" s="1" t="s">
        <v>1538</v>
      </c>
      <c r="F9" s="1" t="s">
        <v>1539</v>
      </c>
      <c r="I9" s="4">
        <v>17</v>
      </c>
      <c r="R9" s="1">
        <f t="shared" si="0"/>
        <v>1</v>
      </c>
    </row>
    <row r="10" spans="1:18">
      <c r="A10" s="1" t="s">
        <v>625</v>
      </c>
      <c r="B10" s="1">
        <v>7</v>
      </c>
      <c r="F10" s="1" t="s">
        <v>1553</v>
      </c>
      <c r="I10" s="4">
        <v>5</v>
      </c>
      <c r="R10" s="1">
        <f t="shared" si="0"/>
        <v>1</v>
      </c>
    </row>
    <row r="11" spans="1:18">
      <c r="A11" s="1" t="s">
        <v>625</v>
      </c>
      <c r="B11" s="1">
        <v>7</v>
      </c>
      <c r="C11" s="1" t="s">
        <v>626</v>
      </c>
      <c r="D11" s="1">
        <v>3</v>
      </c>
      <c r="E11" s="1" t="s">
        <v>627</v>
      </c>
      <c r="F11" s="1" t="s">
        <v>628</v>
      </c>
      <c r="I11" s="4">
        <v>5</v>
      </c>
      <c r="R11" s="1">
        <f t="shared" si="0"/>
        <v>0</v>
      </c>
    </row>
    <row r="12" spans="1:18">
      <c r="A12" s="1" t="s">
        <v>625</v>
      </c>
      <c r="B12" s="1">
        <v>7</v>
      </c>
      <c r="C12" s="1" t="s">
        <v>629</v>
      </c>
      <c r="D12" s="1">
        <v>4</v>
      </c>
      <c r="E12" s="1" t="s">
        <v>630</v>
      </c>
      <c r="F12" s="1" t="s">
        <v>631</v>
      </c>
      <c r="I12" s="4">
        <v>5</v>
      </c>
      <c r="R12" s="1">
        <f t="shared" si="0"/>
        <v>0</v>
      </c>
    </row>
    <row r="13" spans="1:18">
      <c r="A13" s="1" t="s">
        <v>223</v>
      </c>
      <c r="B13" s="1">
        <v>7</v>
      </c>
      <c r="E13" s="1" t="s">
        <v>624</v>
      </c>
      <c r="I13" s="4">
        <v>2</v>
      </c>
      <c r="R13" s="1">
        <f>IF(ISBLANK(A13),,IF(ISBLANK(C13),1,0))</f>
        <v>1</v>
      </c>
    </row>
    <row r="14" spans="1:18">
      <c r="A14" s="1" t="s">
        <v>32</v>
      </c>
      <c r="B14" s="1">
        <v>7</v>
      </c>
      <c r="E14" s="1" t="s">
        <v>632</v>
      </c>
      <c r="F14" s="1" t="s">
        <v>633</v>
      </c>
      <c r="I14" s="4">
        <v>14</v>
      </c>
      <c r="R14" s="1">
        <f t="shared" si="0"/>
        <v>1</v>
      </c>
    </row>
    <row r="15" spans="1:18">
      <c r="A15" s="1" t="s">
        <v>637</v>
      </c>
      <c r="B15" s="1">
        <v>8</v>
      </c>
      <c r="E15" s="1" t="s">
        <v>638</v>
      </c>
      <c r="F15" s="1" t="s">
        <v>639</v>
      </c>
      <c r="G15" s="1" t="s">
        <v>640</v>
      </c>
      <c r="I15" s="4">
        <v>10</v>
      </c>
      <c r="R15" s="1">
        <f t="shared" si="0"/>
        <v>1</v>
      </c>
    </row>
    <row r="16" spans="1:18" ht="34.799999999999997">
      <c r="A16" s="1" t="s">
        <v>634</v>
      </c>
      <c r="B16" s="1">
        <v>8</v>
      </c>
      <c r="E16" s="2" t="s">
        <v>635</v>
      </c>
      <c r="F16" s="2" t="s">
        <v>636</v>
      </c>
      <c r="I16" s="4">
        <v>16</v>
      </c>
      <c r="R16" s="1">
        <f t="shared" si="0"/>
        <v>1</v>
      </c>
    </row>
    <row r="17" spans="1:18">
      <c r="A17" s="1" t="s">
        <v>641</v>
      </c>
      <c r="B17" s="1">
        <v>9</v>
      </c>
      <c r="E17" s="1" t="s">
        <v>642</v>
      </c>
      <c r="F17" s="1" t="s">
        <v>643</v>
      </c>
      <c r="G17" s="1" t="s">
        <v>644</v>
      </c>
      <c r="I17" s="4">
        <v>1</v>
      </c>
      <c r="R17" s="1">
        <f t="shared" si="0"/>
        <v>1</v>
      </c>
    </row>
    <row r="18" spans="1:18">
      <c r="A18" s="1" t="s">
        <v>247</v>
      </c>
      <c r="B18" s="1">
        <v>9</v>
      </c>
      <c r="I18" s="4">
        <v>7</v>
      </c>
      <c r="R18" s="1">
        <f t="shared" si="0"/>
        <v>1</v>
      </c>
    </row>
    <row r="19" spans="1:18">
      <c r="A19" s="1" t="s">
        <v>247</v>
      </c>
      <c r="B19" s="1">
        <v>9</v>
      </c>
      <c r="C19" s="1" t="s">
        <v>645</v>
      </c>
      <c r="D19" s="1">
        <v>3</v>
      </c>
      <c r="E19" s="1" t="s">
        <v>646</v>
      </c>
      <c r="F19" s="1" t="s">
        <v>647</v>
      </c>
      <c r="I19" s="4">
        <v>7</v>
      </c>
      <c r="R19" s="1">
        <f>IF(ISBLANK(A19),,IF(ISBLANK(C19),1,0))</f>
        <v>0</v>
      </c>
    </row>
    <row r="20" spans="1:18">
      <c r="A20" s="1" t="s">
        <v>247</v>
      </c>
      <c r="B20" s="1">
        <v>9</v>
      </c>
      <c r="C20" s="1" t="s">
        <v>493</v>
      </c>
      <c r="D20" s="1">
        <v>6</v>
      </c>
      <c r="E20" s="1" t="s">
        <v>1588</v>
      </c>
      <c r="F20" s="1" t="s">
        <v>1589</v>
      </c>
      <c r="I20" s="4">
        <v>7</v>
      </c>
      <c r="R20" s="1">
        <f t="shared" si="0"/>
        <v>0</v>
      </c>
    </row>
    <row r="21" spans="1:18">
      <c r="A21" s="1" t="s">
        <v>66</v>
      </c>
      <c r="B21" s="1">
        <v>12</v>
      </c>
      <c r="I21" s="4">
        <v>9</v>
      </c>
      <c r="R21" s="1">
        <f t="shared" si="0"/>
        <v>1</v>
      </c>
    </row>
    <row r="22" spans="1:18">
      <c r="A22" s="1" t="s">
        <v>66</v>
      </c>
      <c r="B22" s="1">
        <v>12</v>
      </c>
      <c r="C22" s="1" t="s">
        <v>584</v>
      </c>
      <c r="D22" s="1">
        <v>2</v>
      </c>
      <c r="E22" s="1" t="s">
        <v>648</v>
      </c>
      <c r="I22" s="4">
        <v>9</v>
      </c>
      <c r="R22" s="1">
        <f t="shared" si="0"/>
        <v>0</v>
      </c>
    </row>
    <row r="23" spans="1:18">
      <c r="A23" s="1" t="s">
        <v>66</v>
      </c>
      <c r="B23" s="1">
        <v>12</v>
      </c>
      <c r="C23" s="1" t="s">
        <v>589</v>
      </c>
      <c r="D23" s="1">
        <v>4</v>
      </c>
      <c r="E23" s="1" t="s">
        <v>649</v>
      </c>
      <c r="F23" s="1" t="s">
        <v>650</v>
      </c>
      <c r="I23" s="4">
        <v>9</v>
      </c>
      <c r="R23" s="1">
        <f t="shared" si="0"/>
        <v>0</v>
      </c>
    </row>
    <row r="24" spans="1:18">
      <c r="A24" s="1" t="s">
        <v>66</v>
      </c>
      <c r="B24" s="1">
        <v>12</v>
      </c>
      <c r="C24" s="1" t="s">
        <v>489</v>
      </c>
      <c r="D24" s="1">
        <v>6</v>
      </c>
      <c r="E24" s="1" t="s">
        <v>651</v>
      </c>
      <c r="F24" s="1" t="s">
        <v>652</v>
      </c>
      <c r="I24" s="4">
        <v>9</v>
      </c>
      <c r="R24" s="1">
        <f t="shared" si="0"/>
        <v>0</v>
      </c>
    </row>
    <row r="25" spans="1:18">
      <c r="A25" s="1" t="s">
        <v>653</v>
      </c>
      <c r="B25" s="1">
        <v>13</v>
      </c>
      <c r="I25" s="4">
        <v>8</v>
      </c>
      <c r="R25" s="1">
        <f t="shared" si="0"/>
        <v>1</v>
      </c>
    </row>
    <row r="26" spans="1:18">
      <c r="A26" s="1" t="s">
        <v>653</v>
      </c>
      <c r="B26" s="1">
        <v>13</v>
      </c>
      <c r="C26" s="1" t="s">
        <v>41</v>
      </c>
      <c r="D26" s="1">
        <v>5</v>
      </c>
      <c r="E26" s="1" t="s">
        <v>1598</v>
      </c>
      <c r="F26" s="1" t="s">
        <v>1599</v>
      </c>
      <c r="G26" s="1" t="s">
        <v>1606</v>
      </c>
      <c r="I26" s="4">
        <v>8</v>
      </c>
      <c r="R26" s="1">
        <f>IF(ISBLANK(A26),,IF(ISBLANK(C26),1,0))</f>
        <v>0</v>
      </c>
    </row>
    <row r="27" spans="1:18">
      <c r="A27" s="1" t="s">
        <v>653</v>
      </c>
      <c r="B27" s="1">
        <v>13</v>
      </c>
      <c r="C27" s="1" t="s">
        <v>127</v>
      </c>
      <c r="D27" s="1">
        <v>8</v>
      </c>
      <c r="E27" s="1" t="s">
        <v>654</v>
      </c>
      <c r="F27" s="1" t="s">
        <v>1545</v>
      </c>
      <c r="I27" s="4">
        <v>8</v>
      </c>
      <c r="R27" s="1">
        <f t="shared" si="0"/>
        <v>0</v>
      </c>
    </row>
    <row r="28" spans="1:18">
      <c r="A28" s="1" t="s">
        <v>143</v>
      </c>
      <c r="B28" s="1">
        <v>17</v>
      </c>
      <c r="E28" s="1" t="s">
        <v>655</v>
      </c>
      <c r="F28" s="1" t="s">
        <v>527</v>
      </c>
      <c r="I28" s="1">
        <v>6</v>
      </c>
      <c r="R28" s="1">
        <f t="shared" si="0"/>
        <v>1</v>
      </c>
    </row>
    <row r="29" spans="1:18">
      <c r="A29" s="1" t="s">
        <v>143</v>
      </c>
      <c r="B29" s="1">
        <v>17</v>
      </c>
      <c r="C29" s="1" t="s">
        <v>88</v>
      </c>
      <c r="D29" s="1">
        <v>2</v>
      </c>
      <c r="E29" s="1" t="s">
        <v>656</v>
      </c>
      <c r="F29" s="1" t="s">
        <v>88</v>
      </c>
      <c r="I29" s="1">
        <v>6</v>
      </c>
      <c r="R29" s="1">
        <f t="shared" si="0"/>
        <v>0</v>
      </c>
    </row>
    <row r="30" spans="1:18">
      <c r="A30" s="1" t="s">
        <v>143</v>
      </c>
      <c r="B30" s="1">
        <v>17</v>
      </c>
      <c r="C30" s="1" t="s">
        <v>527</v>
      </c>
      <c r="D30" s="1">
        <v>2</v>
      </c>
      <c r="E30" s="1" t="s">
        <v>657</v>
      </c>
      <c r="F30" s="1" t="s">
        <v>658</v>
      </c>
      <c r="I30" s="1">
        <v>6</v>
      </c>
      <c r="R30" s="1">
        <f t="shared" si="0"/>
        <v>0</v>
      </c>
    </row>
    <row r="31" spans="1:18">
      <c r="A31" s="1" t="s">
        <v>143</v>
      </c>
      <c r="B31" s="1">
        <v>17</v>
      </c>
      <c r="C31" s="1" t="s">
        <v>145</v>
      </c>
      <c r="D31" s="1">
        <v>2</v>
      </c>
      <c r="E31" s="1" t="s">
        <v>659</v>
      </c>
      <c r="F31" s="1" t="s">
        <v>660</v>
      </c>
      <c r="I31" s="1">
        <v>6</v>
      </c>
      <c r="R31" s="1">
        <f t="shared" si="0"/>
        <v>0</v>
      </c>
    </row>
    <row r="32" spans="1:18">
      <c r="A32" s="1" t="s">
        <v>143</v>
      </c>
      <c r="B32" s="1">
        <v>17</v>
      </c>
      <c r="C32" s="1" t="s">
        <v>148</v>
      </c>
      <c r="D32" s="1">
        <v>3</v>
      </c>
      <c r="E32" s="1" t="s">
        <v>661</v>
      </c>
      <c r="F32" s="1" t="s">
        <v>662</v>
      </c>
      <c r="I32" s="1">
        <v>6</v>
      </c>
      <c r="R32" s="1">
        <f t="shared" si="0"/>
        <v>0</v>
      </c>
    </row>
    <row r="33" spans="1:18">
      <c r="A33" s="1" t="s">
        <v>143</v>
      </c>
      <c r="B33" s="1">
        <v>17</v>
      </c>
      <c r="C33" s="1" t="s">
        <v>539</v>
      </c>
      <c r="D33" s="1">
        <v>8</v>
      </c>
      <c r="E33" s="1" t="s">
        <v>663</v>
      </c>
      <c r="F33" s="1" t="s">
        <v>664</v>
      </c>
      <c r="I33" s="1">
        <v>6</v>
      </c>
      <c r="R33" s="1">
        <f t="shared" si="0"/>
        <v>0</v>
      </c>
    </row>
    <row r="34" spans="1:18">
      <c r="A34" s="1" t="s">
        <v>665</v>
      </c>
      <c r="B34" s="1">
        <v>17</v>
      </c>
      <c r="I34" s="4">
        <v>13</v>
      </c>
      <c r="R34" s="1">
        <f t="shared" si="0"/>
        <v>1</v>
      </c>
    </row>
    <row r="35" spans="1:18">
      <c r="A35" s="1" t="s">
        <v>665</v>
      </c>
      <c r="B35" s="1">
        <v>17</v>
      </c>
      <c r="C35" s="1" t="s">
        <v>88</v>
      </c>
      <c r="D35" s="1">
        <v>5</v>
      </c>
      <c r="E35" s="1" t="s">
        <v>666</v>
      </c>
      <c r="F35" s="1" t="s">
        <v>667</v>
      </c>
      <c r="I35" s="4">
        <v>13</v>
      </c>
      <c r="R35" s="1">
        <f t="shared" si="0"/>
        <v>0</v>
      </c>
    </row>
    <row r="36" spans="1:18">
      <c r="A36" s="1" t="s">
        <v>665</v>
      </c>
      <c r="B36" s="1">
        <v>17</v>
      </c>
      <c r="C36" s="1" t="s">
        <v>184</v>
      </c>
      <c r="D36" s="1">
        <v>3</v>
      </c>
      <c r="I36" s="4">
        <v>13</v>
      </c>
      <c r="R36" s="1">
        <f t="shared" si="0"/>
        <v>0</v>
      </c>
    </row>
    <row r="37" spans="1:18">
      <c r="A37" s="1" t="s">
        <v>665</v>
      </c>
      <c r="B37" s="1">
        <v>17</v>
      </c>
      <c r="C37" s="1" t="s">
        <v>668</v>
      </c>
      <c r="D37" s="1">
        <v>2</v>
      </c>
      <c r="I37" s="4">
        <v>13</v>
      </c>
      <c r="R37" s="1">
        <f t="shared" si="0"/>
        <v>0</v>
      </c>
    </row>
    <row r="38" spans="1:18">
      <c r="A38" s="1" t="s">
        <v>665</v>
      </c>
      <c r="B38" s="1">
        <v>17</v>
      </c>
      <c r="C38" s="1" t="s">
        <v>409</v>
      </c>
      <c r="D38" s="1">
        <v>4</v>
      </c>
      <c r="E38" s="1" t="s">
        <v>669</v>
      </c>
      <c r="I38" s="4">
        <v>13</v>
      </c>
      <c r="R38" s="1">
        <f t="shared" si="0"/>
        <v>0</v>
      </c>
    </row>
    <row r="39" spans="1:18">
      <c r="A39" s="1" t="s">
        <v>665</v>
      </c>
      <c r="B39" s="1">
        <v>17</v>
      </c>
      <c r="C39" s="1" t="s">
        <v>410</v>
      </c>
      <c r="D39" s="1">
        <v>2</v>
      </c>
      <c r="I39" s="4">
        <v>13</v>
      </c>
      <c r="R39" s="1">
        <f t="shared" si="0"/>
        <v>0</v>
      </c>
    </row>
    <row r="40" spans="1:18">
      <c r="A40" s="1" t="s">
        <v>665</v>
      </c>
      <c r="B40" s="1">
        <v>17</v>
      </c>
      <c r="C40" s="1" t="s">
        <v>670</v>
      </c>
      <c r="D40" s="1">
        <v>1</v>
      </c>
      <c r="I40" s="4">
        <v>13</v>
      </c>
      <c r="R40" s="1">
        <f t="shared" si="0"/>
        <v>0</v>
      </c>
    </row>
    <row r="41" spans="1:18">
      <c r="A41" s="1" t="s">
        <v>671</v>
      </c>
      <c r="B41" s="1">
        <v>19</v>
      </c>
      <c r="E41" s="1" t="s">
        <v>672</v>
      </c>
      <c r="F41" s="1" t="s">
        <v>673</v>
      </c>
      <c r="I41" s="4">
        <v>4</v>
      </c>
      <c r="R41" s="1">
        <f t="shared" si="0"/>
        <v>1</v>
      </c>
    </row>
    <row r="42" spans="1:18">
      <c r="A42" s="1" t="s">
        <v>671</v>
      </c>
      <c r="B42" s="1">
        <v>19</v>
      </c>
      <c r="C42" s="1" t="s">
        <v>90</v>
      </c>
      <c r="D42" s="1">
        <v>2</v>
      </c>
      <c r="E42" s="1" t="s">
        <v>674</v>
      </c>
      <c r="I42" s="4">
        <v>4</v>
      </c>
      <c r="R42" s="1">
        <f t="shared" si="0"/>
        <v>0</v>
      </c>
    </row>
    <row r="43" spans="1:18">
      <c r="A43" s="1" t="s">
        <v>671</v>
      </c>
      <c r="B43" s="1">
        <v>19</v>
      </c>
      <c r="C43" s="1" t="s">
        <v>133</v>
      </c>
      <c r="D43" s="1">
        <v>3</v>
      </c>
      <c r="E43" s="1" t="s">
        <v>675</v>
      </c>
      <c r="F43" s="1" t="s">
        <v>676</v>
      </c>
      <c r="I43" s="4">
        <v>4</v>
      </c>
      <c r="R43" s="1">
        <f t="shared" si="0"/>
        <v>0</v>
      </c>
    </row>
    <row r="44" spans="1:18">
      <c r="A44" s="1" t="s">
        <v>671</v>
      </c>
      <c r="B44" s="1">
        <v>19</v>
      </c>
      <c r="C44" s="1" t="s">
        <v>486</v>
      </c>
      <c r="D44" s="1">
        <v>3</v>
      </c>
      <c r="E44" s="1" t="s">
        <v>677</v>
      </c>
      <c r="F44" s="1" t="s">
        <v>678</v>
      </c>
      <c r="I44" s="4">
        <v>4</v>
      </c>
      <c r="R44" s="1">
        <f t="shared" si="0"/>
        <v>0</v>
      </c>
    </row>
    <row r="45" spans="1:18">
      <c r="A45" s="1" t="s">
        <v>671</v>
      </c>
      <c r="B45" s="1">
        <v>19</v>
      </c>
      <c r="C45" s="1" t="s">
        <v>679</v>
      </c>
      <c r="D45" s="1">
        <v>2</v>
      </c>
      <c r="E45" s="1" t="s">
        <v>680</v>
      </c>
      <c r="F45" s="1" t="s">
        <v>681</v>
      </c>
      <c r="I45" s="4">
        <v>4</v>
      </c>
      <c r="R45" s="1">
        <f t="shared" si="0"/>
        <v>0</v>
      </c>
    </row>
    <row r="46" spans="1:18">
      <c r="A46" s="1" t="s">
        <v>671</v>
      </c>
      <c r="B46" s="1">
        <v>19</v>
      </c>
      <c r="C46" s="1" t="s">
        <v>682</v>
      </c>
      <c r="D46" s="1">
        <v>2</v>
      </c>
      <c r="E46" s="1" t="s">
        <v>683</v>
      </c>
      <c r="F46" s="1" t="s">
        <v>684</v>
      </c>
      <c r="I46" s="4">
        <v>4</v>
      </c>
      <c r="R46" s="1">
        <f t="shared" si="0"/>
        <v>0</v>
      </c>
    </row>
    <row r="47" spans="1:18">
      <c r="A47" s="1" t="s">
        <v>671</v>
      </c>
      <c r="B47" s="1">
        <v>19</v>
      </c>
      <c r="C47" s="1" t="s">
        <v>143</v>
      </c>
      <c r="D47" s="1">
        <v>7</v>
      </c>
      <c r="E47" s="1" t="s">
        <v>685</v>
      </c>
      <c r="F47" s="1" t="s">
        <v>686</v>
      </c>
      <c r="I47" s="4">
        <v>4</v>
      </c>
      <c r="R47" s="1">
        <f t="shared" si="0"/>
        <v>0</v>
      </c>
    </row>
    <row r="48" spans="1:18">
      <c r="H48" s="1"/>
      <c r="O48" s="1"/>
      <c r="P48" s="1"/>
    </row>
    <row r="49" spans="9:11" s="1" customFormat="1">
      <c r="I49" s="4"/>
      <c r="K49" s="1">
        <f>SUMPRODUCT(B:B,R:R)</f>
        <v>160</v>
      </c>
    </row>
    <row r="50" spans="9:11" s="1" customFormat="1">
      <c r="I50" s="4"/>
    </row>
    <row r="51" spans="9:11" s="1" customFormat="1">
      <c r="I51" s="4"/>
    </row>
    <row r="52" spans="9:11" s="1" customFormat="1">
      <c r="I52" s="4"/>
    </row>
    <row r="53" spans="9:11" s="1" customFormat="1">
      <c r="I53" s="4"/>
    </row>
    <row r="54" spans="9:11" s="1" customFormat="1">
      <c r="I54" s="4"/>
    </row>
    <row r="55" spans="9:11" s="1" customFormat="1">
      <c r="I55" s="4"/>
    </row>
    <row r="56" spans="9:11" s="1" customFormat="1">
      <c r="I56" s="4"/>
    </row>
    <row r="57" spans="9:11" s="1" customFormat="1">
      <c r="I57" s="4"/>
    </row>
    <row r="58" spans="9:11" s="1" customFormat="1">
      <c r="I58" s="4"/>
    </row>
    <row r="59" spans="9:11" s="1" customFormat="1">
      <c r="I59" s="4"/>
    </row>
    <row r="60" spans="9:11" s="1" customFormat="1">
      <c r="I60" s="4"/>
    </row>
    <row r="61" spans="9:11" s="1" customFormat="1">
      <c r="I61" s="4"/>
    </row>
    <row r="62" spans="9:11" s="1" customFormat="1">
      <c r="I62" s="4"/>
    </row>
    <row r="63" spans="9:11" s="1" customFormat="1">
      <c r="I63" s="4"/>
    </row>
    <row r="64" spans="9:11" s="1" customFormat="1">
      <c r="I64" s="4"/>
    </row>
    <row r="65" spans="9:9" s="1" customFormat="1">
      <c r="I65" s="4"/>
    </row>
    <row r="66" spans="9:9" s="1" customFormat="1">
      <c r="I66" s="4"/>
    </row>
    <row r="67" spans="9:9" s="1" customFormat="1">
      <c r="I67" s="4"/>
    </row>
    <row r="68" spans="9:9" s="1" customFormat="1">
      <c r="I68" s="4"/>
    </row>
    <row r="69" spans="9:9" s="1" customFormat="1">
      <c r="I69" s="4"/>
    </row>
  </sheetData>
  <sortState xmlns:xlrd2="http://schemas.microsoft.com/office/spreadsheetml/2017/richdata2" ref="A2:H47">
    <sortCondition ref="B2:B47"/>
  </sortState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083F2-DE41-404C-86DB-F4C99344A601}">
  <sheetPr codeName="Sheet7"/>
  <dimension ref="A1:AR158"/>
  <sheetViews>
    <sheetView zoomScaleNormal="100" workbookViewId="0">
      <pane ySplit="1" topLeftCell="A2" activePane="bottomLeft" state="frozen"/>
      <selection pane="bottomLeft" activeCell="J19" sqref="C6:J19"/>
    </sheetView>
  </sheetViews>
  <sheetFormatPr defaultColWidth="10.75" defaultRowHeight="17.399999999999999"/>
  <cols>
    <col min="1" max="1" width="7.83203125" style="1" bestFit="1" customWidth="1"/>
    <col min="2" max="2" width="16.6640625" style="1" bestFit="1" customWidth="1"/>
    <col min="3" max="4" width="3.1640625" style="1" bestFit="1" customWidth="1"/>
    <col min="5" max="5" width="4.5" style="1" bestFit="1" customWidth="1"/>
    <col min="6" max="7" width="5.5" style="1" bestFit="1" customWidth="1"/>
    <col min="8" max="12" width="4.5" style="1" bestFit="1" customWidth="1"/>
    <col min="13" max="13" width="7.83203125" style="1" bestFit="1" customWidth="1"/>
    <col min="14" max="14" width="6.1640625" style="1" bestFit="1" customWidth="1"/>
    <col min="15" max="16" width="7.83203125" style="1" bestFit="1" customWidth="1"/>
    <col min="17" max="18" width="6.1640625" style="1" bestFit="1" customWidth="1"/>
    <col min="19" max="20" width="7.83203125" style="1" bestFit="1" customWidth="1"/>
    <col min="21" max="21" width="6.1640625" style="1" bestFit="1" customWidth="1"/>
    <col min="22" max="22" width="7.83203125" style="1" bestFit="1" customWidth="1"/>
    <col min="23" max="24" width="6.1640625" style="1" bestFit="1" customWidth="1"/>
    <col min="25" max="25" width="7.83203125" style="1" bestFit="1" customWidth="1"/>
    <col min="26" max="26" width="6.1640625" style="1" bestFit="1" customWidth="1"/>
    <col min="27" max="27" width="7.83203125" style="1" bestFit="1" customWidth="1"/>
    <col min="28" max="28" width="4.5" style="1" bestFit="1" customWidth="1"/>
    <col min="29" max="36" width="8.08203125" style="1" bestFit="1" customWidth="1"/>
    <col min="37" max="44" width="5.5" style="1" bestFit="1" customWidth="1"/>
    <col min="45" max="16384" width="10.75" style="1"/>
  </cols>
  <sheetData>
    <row r="1" spans="1:36">
      <c r="C1" s="1" t="s">
        <v>687</v>
      </c>
      <c r="D1" s="1" t="s">
        <v>1509</v>
      </c>
      <c r="E1" s="1" t="s">
        <v>1156</v>
      </c>
      <c r="F1" s="1" t="s">
        <v>350</v>
      </c>
      <c r="G1" s="1" t="s">
        <v>739</v>
      </c>
      <c r="H1" s="1" t="s">
        <v>729</v>
      </c>
      <c r="I1" s="1" t="s">
        <v>909</v>
      </c>
      <c r="J1" s="1" t="s">
        <v>101</v>
      </c>
      <c r="K1" s="1" t="s">
        <v>742</v>
      </c>
      <c r="L1" s="1" t="s">
        <v>734</v>
      </c>
      <c r="M1" s="1">
        <v>1</v>
      </c>
      <c r="N1" s="1">
        <v>2</v>
      </c>
      <c r="O1" s="1">
        <v>3</v>
      </c>
      <c r="P1" s="1">
        <v>4</v>
      </c>
      <c r="Q1" s="1">
        <v>5</v>
      </c>
      <c r="R1" s="1">
        <v>6</v>
      </c>
      <c r="S1" s="1">
        <v>7</v>
      </c>
      <c r="T1" s="1">
        <v>8</v>
      </c>
      <c r="U1" s="1">
        <v>9</v>
      </c>
      <c r="V1" s="1">
        <v>10</v>
      </c>
      <c r="W1" s="1">
        <v>11</v>
      </c>
      <c r="X1" s="1">
        <v>12</v>
      </c>
      <c r="Y1" s="1">
        <v>13</v>
      </c>
      <c r="Z1" s="1">
        <v>14</v>
      </c>
      <c r="AA1" s="1">
        <v>15</v>
      </c>
      <c r="AB1" s="1">
        <v>16</v>
      </c>
    </row>
    <row r="2" spans="1:36">
      <c r="A2" s="1" t="s">
        <v>976</v>
      </c>
      <c r="B2" s="1" t="s">
        <v>1056</v>
      </c>
      <c r="C2" s="1">
        <f t="shared" ref="C2:C33" si="0">D2-COUNTIF(E2:L2,"&lt;&gt;0")</f>
        <v>3</v>
      </c>
      <c r="D2" s="1">
        <f t="shared" ref="D2:D33" si="1">COUNTA(M2:AB2)</f>
        <v>10</v>
      </c>
      <c r="E2" s="1" t="str">
        <f t="shared" ref="E2:L11" si="2">_xlfn.XLOOKUP(E$1,$M2:$AB2,$M2:$AB2,0,0)</f>
        <v>甘草</v>
      </c>
      <c r="F2" s="1" t="str">
        <f t="shared" si="2"/>
        <v>生姜</v>
      </c>
      <c r="G2" s="1" t="str">
        <f t="shared" si="2"/>
        <v>大枣</v>
      </c>
      <c r="H2" s="1" t="str">
        <f t="shared" si="2"/>
        <v>人参</v>
      </c>
      <c r="I2" s="1">
        <f t="shared" si="2"/>
        <v>0</v>
      </c>
      <c r="J2" s="1" t="str">
        <f t="shared" si="2"/>
        <v>茯苓</v>
      </c>
      <c r="K2" s="1" t="str">
        <f t="shared" si="2"/>
        <v>当归</v>
      </c>
      <c r="L2" s="1" t="str">
        <f t="shared" si="2"/>
        <v>白术</v>
      </c>
      <c r="M2" s="1" t="s">
        <v>1259</v>
      </c>
      <c r="N2" s="1" t="s">
        <v>1152</v>
      </c>
      <c r="O2" s="1" t="s">
        <v>1211</v>
      </c>
      <c r="P2" s="1" t="s">
        <v>1212</v>
      </c>
      <c r="Q2" s="1" t="s">
        <v>1198</v>
      </c>
      <c r="R2" s="1" t="s">
        <v>1183</v>
      </c>
      <c r="S2" s="1" t="s">
        <v>1184</v>
      </c>
      <c r="T2" s="1" t="s">
        <v>1147</v>
      </c>
      <c r="U2" s="1" t="s">
        <v>1146</v>
      </c>
      <c r="V2" s="1" t="s">
        <v>1156</v>
      </c>
    </row>
    <row r="3" spans="1:36">
      <c r="A3" s="1" t="s">
        <v>976</v>
      </c>
      <c r="B3" s="1" t="s">
        <v>1055</v>
      </c>
      <c r="C3" s="1">
        <f t="shared" si="0"/>
        <v>5</v>
      </c>
      <c r="D3" s="1">
        <f t="shared" si="1"/>
        <v>12</v>
      </c>
      <c r="E3" s="1" t="str">
        <f t="shared" si="2"/>
        <v>甘草</v>
      </c>
      <c r="F3" s="1" t="str">
        <f t="shared" si="2"/>
        <v>生姜</v>
      </c>
      <c r="G3" s="1" t="str">
        <f t="shared" si="2"/>
        <v>大枣</v>
      </c>
      <c r="H3" s="1" t="str">
        <f t="shared" si="2"/>
        <v>人参</v>
      </c>
      <c r="I3" s="1">
        <f t="shared" si="2"/>
        <v>0</v>
      </c>
      <c r="J3" s="1" t="str">
        <f t="shared" si="2"/>
        <v>茯苓</v>
      </c>
      <c r="K3" s="1" t="str">
        <f t="shared" si="2"/>
        <v>当归</v>
      </c>
      <c r="L3" s="1" t="str">
        <f t="shared" si="2"/>
        <v>白术</v>
      </c>
      <c r="M3" s="1" t="s">
        <v>1286</v>
      </c>
      <c r="N3" s="1" t="s">
        <v>1285</v>
      </c>
      <c r="O3" s="1" t="s">
        <v>1187</v>
      </c>
      <c r="P3" s="1" t="s">
        <v>1284</v>
      </c>
      <c r="Q3" s="1" t="s">
        <v>1260</v>
      </c>
      <c r="R3" s="1" t="s">
        <v>1212</v>
      </c>
      <c r="S3" s="1" t="s">
        <v>1198</v>
      </c>
      <c r="T3" s="1" t="s">
        <v>1183</v>
      </c>
      <c r="U3" s="1" t="s">
        <v>1184</v>
      </c>
      <c r="V3" s="1" t="s">
        <v>1147</v>
      </c>
      <c r="W3" s="1" t="s">
        <v>1146</v>
      </c>
      <c r="X3" s="1" t="s">
        <v>1156</v>
      </c>
    </row>
    <row r="4" spans="1:36">
      <c r="A4" s="1" t="s">
        <v>971</v>
      </c>
      <c r="B4" s="1" t="s">
        <v>1012</v>
      </c>
      <c r="C4" s="1">
        <f t="shared" si="0"/>
        <v>3</v>
      </c>
      <c r="D4" s="1">
        <f t="shared" si="1"/>
        <v>8</v>
      </c>
      <c r="E4" s="1" t="str">
        <f t="shared" si="2"/>
        <v>甘草</v>
      </c>
      <c r="F4" s="1" t="str">
        <f t="shared" si="2"/>
        <v>生姜</v>
      </c>
      <c r="G4" s="1">
        <f t="shared" si="2"/>
        <v>0</v>
      </c>
      <c r="H4" s="1">
        <f t="shared" si="2"/>
        <v>0</v>
      </c>
      <c r="I4" s="1">
        <f t="shared" si="2"/>
        <v>0</v>
      </c>
      <c r="J4" s="1" t="str">
        <f t="shared" si="2"/>
        <v>茯苓</v>
      </c>
      <c r="K4" s="1" t="str">
        <f t="shared" si="2"/>
        <v>当归</v>
      </c>
      <c r="L4" s="1" t="str">
        <f t="shared" si="2"/>
        <v>白术</v>
      </c>
      <c r="M4" s="1" t="s">
        <v>1178</v>
      </c>
      <c r="N4" s="1" t="s">
        <v>1169</v>
      </c>
      <c r="O4" s="1" t="s">
        <v>1211</v>
      </c>
      <c r="P4" s="1" t="s">
        <v>1212</v>
      </c>
      <c r="Q4" s="1" t="s">
        <v>1198</v>
      </c>
      <c r="R4" s="1" t="s">
        <v>1183</v>
      </c>
      <c r="S4" s="1" t="s">
        <v>350</v>
      </c>
      <c r="T4" s="1" t="s">
        <v>1156</v>
      </c>
    </row>
    <row r="5" spans="1:36">
      <c r="A5" s="1" t="s">
        <v>987</v>
      </c>
      <c r="B5" s="1" t="s">
        <v>1136</v>
      </c>
      <c r="C5" s="1">
        <f t="shared" si="0"/>
        <v>2</v>
      </c>
      <c r="D5" s="1">
        <f t="shared" si="1"/>
        <v>8</v>
      </c>
      <c r="E5" s="1" t="str">
        <f t="shared" si="2"/>
        <v>甘草</v>
      </c>
      <c r="F5" s="1" t="str">
        <f t="shared" si="2"/>
        <v>生姜</v>
      </c>
      <c r="G5" s="1" t="str">
        <f t="shared" si="2"/>
        <v>大枣</v>
      </c>
      <c r="H5" s="1">
        <f t="shared" si="2"/>
        <v>0</v>
      </c>
      <c r="I5" s="1" t="str">
        <f t="shared" si="2"/>
        <v>半夏</v>
      </c>
      <c r="J5" s="1" t="str">
        <f t="shared" si="2"/>
        <v>茯苓</v>
      </c>
      <c r="K5" s="1">
        <f t="shared" si="2"/>
        <v>0</v>
      </c>
      <c r="L5" s="1" t="str">
        <f t="shared" si="2"/>
        <v>白术</v>
      </c>
      <c r="M5" s="1" t="s">
        <v>1412</v>
      </c>
      <c r="N5" s="1" t="s">
        <v>1459</v>
      </c>
      <c r="O5" s="1" t="s">
        <v>1212</v>
      </c>
      <c r="P5" s="1" t="s">
        <v>1183</v>
      </c>
      <c r="Q5" s="1" t="s">
        <v>1158</v>
      </c>
      <c r="R5" s="1" t="s">
        <v>1147</v>
      </c>
      <c r="S5" s="1" t="s">
        <v>1146</v>
      </c>
      <c r="T5" s="1" t="s">
        <v>1156</v>
      </c>
    </row>
    <row r="6" spans="1:36">
      <c r="A6" s="1" t="s">
        <v>985</v>
      </c>
      <c r="B6" s="1" t="s">
        <v>1126</v>
      </c>
      <c r="C6" s="1">
        <f t="shared" si="0"/>
        <v>7</v>
      </c>
      <c r="D6" s="1">
        <f t="shared" si="1"/>
        <v>12</v>
      </c>
      <c r="E6" s="1" t="str">
        <f t="shared" si="2"/>
        <v>甘草</v>
      </c>
      <c r="F6" s="1" t="str">
        <f t="shared" si="2"/>
        <v>生姜</v>
      </c>
      <c r="G6" s="1" t="str">
        <f t="shared" si="2"/>
        <v>大枣</v>
      </c>
      <c r="H6" s="1">
        <f t="shared" si="2"/>
        <v>0</v>
      </c>
      <c r="I6" s="1">
        <f t="shared" si="2"/>
        <v>0</v>
      </c>
      <c r="J6" s="1" t="str">
        <f t="shared" si="2"/>
        <v>茯苓</v>
      </c>
      <c r="K6" s="1">
        <f t="shared" si="2"/>
        <v>0</v>
      </c>
      <c r="L6" s="1" t="str">
        <f t="shared" si="2"/>
        <v>白术</v>
      </c>
      <c r="M6" s="1" t="s">
        <v>1304</v>
      </c>
      <c r="N6" s="1" t="s">
        <v>1187</v>
      </c>
      <c r="O6" s="1" t="s">
        <v>1451</v>
      </c>
      <c r="P6" s="1" t="s">
        <v>1190</v>
      </c>
      <c r="Q6" s="1" t="s">
        <v>1157</v>
      </c>
      <c r="R6" s="1" t="s">
        <v>1453</v>
      </c>
      <c r="S6" s="1" t="s">
        <v>1452</v>
      </c>
      <c r="T6" s="1" t="s">
        <v>1212</v>
      </c>
      <c r="U6" s="1" t="s">
        <v>1183</v>
      </c>
      <c r="V6" s="1" t="s">
        <v>1147</v>
      </c>
      <c r="W6" s="1" t="s">
        <v>1146</v>
      </c>
      <c r="X6" s="1" t="s">
        <v>1156</v>
      </c>
    </row>
    <row r="7" spans="1:36">
      <c r="A7" s="1" t="s">
        <v>976</v>
      </c>
      <c r="B7" s="1" t="s">
        <v>1049</v>
      </c>
      <c r="C7" s="1">
        <f t="shared" si="0"/>
        <v>6</v>
      </c>
      <c r="D7" s="1">
        <f t="shared" si="1"/>
        <v>11</v>
      </c>
      <c r="E7" s="1" t="str">
        <f t="shared" si="2"/>
        <v>甘草</v>
      </c>
      <c r="F7" s="1">
        <f t="shared" si="2"/>
        <v>0</v>
      </c>
      <c r="G7" s="1" t="str">
        <f t="shared" si="2"/>
        <v>大枣</v>
      </c>
      <c r="H7" s="1" t="str">
        <f t="shared" si="2"/>
        <v>人参</v>
      </c>
      <c r="I7" s="1">
        <f t="shared" si="2"/>
        <v>0</v>
      </c>
      <c r="J7" s="1" t="str">
        <f t="shared" si="2"/>
        <v>茯苓</v>
      </c>
      <c r="K7" s="1">
        <f t="shared" si="2"/>
        <v>0</v>
      </c>
      <c r="L7" s="1" t="str">
        <f t="shared" si="2"/>
        <v>白术</v>
      </c>
      <c r="M7" s="1" t="s">
        <v>1246</v>
      </c>
      <c r="N7" s="1" t="s">
        <v>1282</v>
      </c>
      <c r="O7" s="1" t="s">
        <v>1280</v>
      </c>
      <c r="P7" s="1" t="s">
        <v>1279</v>
      </c>
      <c r="Q7" s="1" t="s">
        <v>1161</v>
      </c>
      <c r="R7" s="1" t="s">
        <v>1281</v>
      </c>
      <c r="S7" s="1" t="s">
        <v>1212</v>
      </c>
      <c r="T7" s="1" t="s">
        <v>1183</v>
      </c>
      <c r="U7" s="1" t="s">
        <v>1184</v>
      </c>
      <c r="V7" s="1" t="s">
        <v>1147</v>
      </c>
      <c r="W7" s="1" t="s">
        <v>1156</v>
      </c>
    </row>
    <row r="8" spans="1:36">
      <c r="A8" s="1" t="s">
        <v>976</v>
      </c>
      <c r="B8" s="1" t="s">
        <v>1048</v>
      </c>
      <c r="C8" s="1">
        <f t="shared" si="0"/>
        <v>0</v>
      </c>
      <c r="D8" s="1">
        <f t="shared" si="1"/>
        <v>4</v>
      </c>
      <c r="E8" s="1" t="str">
        <f t="shared" si="2"/>
        <v>甘草</v>
      </c>
      <c r="F8" s="1">
        <f t="shared" si="2"/>
        <v>0</v>
      </c>
      <c r="G8" s="1">
        <f t="shared" si="2"/>
        <v>0</v>
      </c>
      <c r="H8" s="1" t="str">
        <f t="shared" si="2"/>
        <v>人参</v>
      </c>
      <c r="I8" s="1">
        <f t="shared" si="2"/>
        <v>0</v>
      </c>
      <c r="J8" s="1" t="str">
        <f t="shared" si="2"/>
        <v>茯苓</v>
      </c>
      <c r="K8" s="1">
        <f t="shared" si="2"/>
        <v>0</v>
      </c>
      <c r="L8" s="1" t="str">
        <f t="shared" si="2"/>
        <v>白术</v>
      </c>
      <c r="M8" s="1" t="s">
        <v>1212</v>
      </c>
      <c r="N8" s="1" t="s">
        <v>1183</v>
      </c>
      <c r="O8" s="1" t="s">
        <v>1184</v>
      </c>
      <c r="P8" s="1" t="s">
        <v>1156</v>
      </c>
    </row>
    <row r="9" spans="1:36">
      <c r="A9" s="1" t="s">
        <v>985</v>
      </c>
      <c r="B9" s="1" t="s">
        <v>1473</v>
      </c>
      <c r="C9" s="1">
        <f t="shared" si="0"/>
        <v>1</v>
      </c>
      <c r="D9" s="1">
        <f t="shared" si="1"/>
        <v>4</v>
      </c>
      <c r="E9" s="1" t="str">
        <f t="shared" si="2"/>
        <v>甘草</v>
      </c>
      <c r="F9" s="1">
        <f t="shared" si="2"/>
        <v>0</v>
      </c>
      <c r="G9" s="1">
        <f t="shared" si="2"/>
        <v>0</v>
      </c>
      <c r="H9" s="1">
        <f t="shared" si="2"/>
        <v>0</v>
      </c>
      <c r="I9" s="1">
        <f t="shared" si="2"/>
        <v>0</v>
      </c>
      <c r="J9" s="1" t="str">
        <f t="shared" si="2"/>
        <v>茯苓</v>
      </c>
      <c r="K9" s="1">
        <f t="shared" si="2"/>
        <v>0</v>
      </c>
      <c r="L9" s="1" t="str">
        <f t="shared" si="2"/>
        <v>白术</v>
      </c>
      <c r="M9" s="1" t="s">
        <v>1143</v>
      </c>
      <c r="N9" s="1" t="s">
        <v>1212</v>
      </c>
      <c r="O9" s="1" t="s">
        <v>1183</v>
      </c>
      <c r="P9" s="1" t="s">
        <v>1156</v>
      </c>
    </row>
    <row r="10" spans="1:36">
      <c r="A10" s="1" t="s">
        <v>985</v>
      </c>
      <c r="B10" s="1" t="s">
        <v>1115</v>
      </c>
      <c r="C10" s="1">
        <f t="shared" si="0"/>
        <v>9</v>
      </c>
      <c r="D10" s="1">
        <f t="shared" si="1"/>
        <v>13</v>
      </c>
      <c r="E10" s="1">
        <f t="shared" si="2"/>
        <v>0</v>
      </c>
      <c r="F10" s="1" t="str">
        <f t="shared" si="2"/>
        <v>生姜</v>
      </c>
      <c r="G10" s="1" t="str">
        <f t="shared" si="2"/>
        <v>大枣</v>
      </c>
      <c r="H10" s="1">
        <f t="shared" si="2"/>
        <v>0</v>
      </c>
      <c r="I10" s="1">
        <f t="shared" si="2"/>
        <v>0</v>
      </c>
      <c r="J10" s="1" t="str">
        <f t="shared" si="2"/>
        <v>茯苓</v>
      </c>
      <c r="K10" s="1">
        <f t="shared" si="2"/>
        <v>0</v>
      </c>
      <c r="L10" s="1" t="str">
        <f t="shared" si="2"/>
        <v>白术</v>
      </c>
      <c r="M10" s="1" t="s">
        <v>1428</v>
      </c>
      <c r="N10" s="1" t="s">
        <v>1161</v>
      </c>
      <c r="O10" s="1" t="s">
        <v>1430</v>
      </c>
      <c r="P10" s="1" t="s">
        <v>1190</v>
      </c>
      <c r="Q10" s="1" t="s">
        <v>1427</v>
      </c>
      <c r="R10" s="1" t="s">
        <v>1166</v>
      </c>
      <c r="S10" s="1" t="s">
        <v>1499</v>
      </c>
      <c r="T10" s="1" t="s">
        <v>1153</v>
      </c>
      <c r="U10" s="1" t="s">
        <v>1212</v>
      </c>
      <c r="V10" s="1" t="s">
        <v>1183</v>
      </c>
      <c r="W10" s="1" t="s">
        <v>1147</v>
      </c>
      <c r="X10" s="1" t="s">
        <v>1146</v>
      </c>
      <c r="Y10" s="1" t="s">
        <v>1428</v>
      </c>
    </row>
    <row r="11" spans="1:36">
      <c r="A11" s="1" t="s">
        <v>985</v>
      </c>
      <c r="B11" s="1" t="s">
        <v>1125</v>
      </c>
      <c r="C11" s="1">
        <f t="shared" si="0"/>
        <v>2</v>
      </c>
      <c r="D11" s="1">
        <f t="shared" si="1"/>
        <v>5</v>
      </c>
      <c r="E11" s="1">
        <f t="shared" si="2"/>
        <v>0</v>
      </c>
      <c r="F11" s="1" t="str">
        <f t="shared" si="2"/>
        <v>生姜</v>
      </c>
      <c r="G11" s="1">
        <f t="shared" si="2"/>
        <v>0</v>
      </c>
      <c r="H11" s="1">
        <f t="shared" si="2"/>
        <v>0</v>
      </c>
      <c r="I11" s="1">
        <f t="shared" si="2"/>
        <v>0</v>
      </c>
      <c r="J11" s="1" t="str">
        <f t="shared" si="2"/>
        <v>茯苓</v>
      </c>
      <c r="K11" s="1">
        <f t="shared" si="2"/>
        <v>0</v>
      </c>
      <c r="L11" s="1" t="str">
        <f t="shared" si="2"/>
        <v>白术</v>
      </c>
      <c r="M11" s="1" t="s">
        <v>1145</v>
      </c>
      <c r="N11" s="1" t="s">
        <v>1197</v>
      </c>
      <c r="O11" s="1" t="s">
        <v>1212</v>
      </c>
      <c r="P11" s="1" t="s">
        <v>1183</v>
      </c>
      <c r="Q11" s="1" t="s">
        <v>1146</v>
      </c>
    </row>
    <row r="12" spans="1:36">
      <c r="A12" s="1" t="s">
        <v>985</v>
      </c>
      <c r="B12" s="1" t="s">
        <v>1122</v>
      </c>
      <c r="C12" s="1">
        <f t="shared" si="0"/>
        <v>3</v>
      </c>
      <c r="D12" s="1">
        <f t="shared" si="1"/>
        <v>5</v>
      </c>
      <c r="E12" s="1">
        <f t="shared" ref="E12:L21" si="3">_xlfn.XLOOKUP(E$1,$M12:$AB12,$M12:$AB12,0,0)</f>
        <v>0</v>
      </c>
      <c r="F12" s="1">
        <f t="shared" si="3"/>
        <v>0</v>
      </c>
      <c r="G12" s="1">
        <f t="shared" si="3"/>
        <v>0</v>
      </c>
      <c r="H12" s="1">
        <f t="shared" si="3"/>
        <v>0</v>
      </c>
      <c r="I12" s="1">
        <f t="shared" si="3"/>
        <v>0</v>
      </c>
      <c r="J12" s="1" t="str">
        <f t="shared" si="3"/>
        <v>茯苓</v>
      </c>
      <c r="K12" s="1">
        <f t="shared" si="3"/>
        <v>0</v>
      </c>
      <c r="L12" s="1" t="str">
        <f t="shared" si="3"/>
        <v>白术</v>
      </c>
      <c r="M12" s="1" t="s">
        <v>1449</v>
      </c>
      <c r="N12" s="1" t="s">
        <v>1203</v>
      </c>
      <c r="O12" s="1" t="s">
        <v>1143</v>
      </c>
      <c r="P12" s="1" t="s">
        <v>1212</v>
      </c>
      <c r="Q12" s="1" t="s">
        <v>1183</v>
      </c>
    </row>
    <row r="13" spans="1:36">
      <c r="A13" s="1" t="s">
        <v>988</v>
      </c>
      <c r="B13" s="1" t="s">
        <v>1138</v>
      </c>
      <c r="C13" s="1">
        <f t="shared" si="0"/>
        <v>6</v>
      </c>
      <c r="D13" s="1">
        <f t="shared" si="1"/>
        <v>8</v>
      </c>
      <c r="E13" s="1">
        <f t="shared" si="3"/>
        <v>0</v>
      </c>
      <c r="F13" s="1">
        <f t="shared" si="3"/>
        <v>0</v>
      </c>
      <c r="G13" s="1">
        <f t="shared" si="3"/>
        <v>0</v>
      </c>
      <c r="H13" s="1">
        <f t="shared" si="3"/>
        <v>0</v>
      </c>
      <c r="I13" s="1">
        <f t="shared" si="3"/>
        <v>0</v>
      </c>
      <c r="J13" s="1" t="str">
        <f t="shared" si="3"/>
        <v>茯苓</v>
      </c>
      <c r="K13" s="1">
        <f t="shared" si="3"/>
        <v>0</v>
      </c>
      <c r="L13" s="1" t="str">
        <f t="shared" si="3"/>
        <v>白术</v>
      </c>
      <c r="M13" s="1" t="s">
        <v>1191</v>
      </c>
      <c r="N13" s="1" t="s">
        <v>1203</v>
      </c>
      <c r="O13" s="1" t="s">
        <v>1155</v>
      </c>
      <c r="P13" s="1" t="s">
        <v>1213</v>
      </c>
      <c r="Q13" s="1" t="s">
        <v>1189</v>
      </c>
      <c r="R13" s="1" t="s">
        <v>1466</v>
      </c>
      <c r="S13" s="1" t="s">
        <v>1212</v>
      </c>
      <c r="T13" s="1" t="s">
        <v>1183</v>
      </c>
    </row>
    <row r="14" spans="1:36">
      <c r="A14" s="1" t="s">
        <v>980</v>
      </c>
      <c r="B14" s="1" t="s">
        <v>1081</v>
      </c>
      <c r="C14" s="1">
        <f t="shared" si="0"/>
        <v>5</v>
      </c>
      <c r="D14" s="1">
        <f t="shared" si="1"/>
        <v>7</v>
      </c>
      <c r="E14" s="1">
        <f t="shared" si="3"/>
        <v>0</v>
      </c>
      <c r="F14" s="1">
        <f t="shared" si="3"/>
        <v>0</v>
      </c>
      <c r="G14" s="1">
        <f t="shared" si="3"/>
        <v>0</v>
      </c>
      <c r="H14" s="1">
        <f t="shared" si="3"/>
        <v>0</v>
      </c>
      <c r="I14" s="1">
        <f t="shared" si="3"/>
        <v>0</v>
      </c>
      <c r="J14" s="1" t="str">
        <f t="shared" si="3"/>
        <v>茯苓</v>
      </c>
      <c r="K14" s="1" t="str">
        <f t="shared" si="3"/>
        <v>当归</v>
      </c>
      <c r="L14" s="1">
        <f t="shared" si="3"/>
        <v>0</v>
      </c>
      <c r="M14" s="1" t="s">
        <v>1352</v>
      </c>
      <c r="N14" s="1" t="s">
        <v>1351</v>
      </c>
      <c r="O14" s="1" t="s">
        <v>1273</v>
      </c>
      <c r="P14" s="1" t="s">
        <v>1301</v>
      </c>
      <c r="Q14" s="1" t="s">
        <v>1343</v>
      </c>
      <c r="R14" s="1" t="s">
        <v>1198</v>
      </c>
      <c r="S14" s="1" t="s">
        <v>1183</v>
      </c>
    </row>
    <row r="15" spans="1:36">
      <c r="A15" s="1" t="s">
        <v>969</v>
      </c>
      <c r="B15" s="1" t="s">
        <v>999</v>
      </c>
      <c r="C15" s="1">
        <f t="shared" si="0"/>
        <v>8</v>
      </c>
      <c r="D15" s="1">
        <f t="shared" si="1"/>
        <v>12</v>
      </c>
      <c r="E15" s="1" t="str">
        <f t="shared" si="3"/>
        <v>甘草</v>
      </c>
      <c r="F15" s="1" t="str">
        <f t="shared" si="3"/>
        <v>生姜</v>
      </c>
      <c r="G15" s="1">
        <f t="shared" si="3"/>
        <v>0</v>
      </c>
      <c r="H15" s="1" t="str">
        <f t="shared" si="3"/>
        <v>人参</v>
      </c>
      <c r="I15" s="1">
        <f t="shared" si="3"/>
        <v>0</v>
      </c>
      <c r="J15" s="1" t="str">
        <f t="shared" si="3"/>
        <v>茯苓</v>
      </c>
      <c r="K15" s="1">
        <f t="shared" si="3"/>
        <v>0</v>
      </c>
      <c r="L15" s="1">
        <f t="shared" si="3"/>
        <v>0</v>
      </c>
      <c r="M15" s="1" t="s">
        <v>1181</v>
      </c>
      <c r="N15" s="1" t="s">
        <v>1148</v>
      </c>
      <c r="O15" s="1" t="s">
        <v>1180</v>
      </c>
      <c r="P15" s="1" t="s">
        <v>1161</v>
      </c>
      <c r="Q15" s="1" t="s">
        <v>1182</v>
      </c>
      <c r="R15" s="1" t="s">
        <v>1152</v>
      </c>
      <c r="S15" s="1" t="s">
        <v>1178</v>
      </c>
      <c r="T15" s="1" t="s">
        <v>1169</v>
      </c>
      <c r="U15" s="1" t="s">
        <v>1183</v>
      </c>
      <c r="V15" s="1" t="s">
        <v>1184</v>
      </c>
      <c r="W15" s="1" t="s">
        <v>1146</v>
      </c>
      <c r="X15" s="1" t="s">
        <v>1156</v>
      </c>
      <c r="AC15" s="1" t="e" cm="1">
        <f t="array" ref="AC15:AJ15">FIND({1,2,3,4,5,6,7,8},LEFT(M14:N14,1))</f>
        <v>#VALUE!</v>
      </c>
      <c r="AD15" s="1" t="e">
        <v>#VALUE!</v>
      </c>
      <c r="AE15" s="1" t="e">
        <v>#N/A</v>
      </c>
      <c r="AF15" s="1" t="e">
        <v>#N/A</v>
      </c>
      <c r="AG15" s="1" t="e">
        <v>#N/A</v>
      </c>
      <c r="AH15" s="1" t="e">
        <v>#N/A</v>
      </c>
      <c r="AI15" s="1" t="e">
        <v>#N/A</v>
      </c>
      <c r="AJ15" s="1" t="e">
        <v>#N/A</v>
      </c>
    </row>
    <row r="16" spans="1:36">
      <c r="A16" s="1" t="s">
        <v>987</v>
      </c>
      <c r="B16" s="1" t="s">
        <v>1131</v>
      </c>
      <c r="C16" s="1">
        <f t="shared" si="0"/>
        <v>3</v>
      </c>
      <c r="D16" s="1">
        <f t="shared" si="1"/>
        <v>8</v>
      </c>
      <c r="E16" s="1" t="str">
        <f t="shared" si="3"/>
        <v>甘草</v>
      </c>
      <c r="F16" s="1" t="str">
        <f t="shared" si="3"/>
        <v>生姜</v>
      </c>
      <c r="G16" s="1" t="str">
        <f t="shared" si="3"/>
        <v>大枣</v>
      </c>
      <c r="H16" s="1">
        <f t="shared" si="3"/>
        <v>0</v>
      </c>
      <c r="I16" s="1" t="str">
        <f t="shared" si="3"/>
        <v>半夏</v>
      </c>
      <c r="J16" s="1" t="str">
        <f t="shared" si="3"/>
        <v>茯苓</v>
      </c>
      <c r="K16" s="1">
        <f t="shared" si="3"/>
        <v>0</v>
      </c>
      <c r="L16" s="1">
        <f t="shared" si="3"/>
        <v>0</v>
      </c>
      <c r="M16" s="1" t="s">
        <v>1208</v>
      </c>
      <c r="N16" s="1" t="s">
        <v>1166</v>
      </c>
      <c r="O16" s="1" t="s">
        <v>1460</v>
      </c>
      <c r="P16" s="1" t="s">
        <v>1183</v>
      </c>
      <c r="Q16" s="1" t="s">
        <v>1158</v>
      </c>
      <c r="R16" s="1" t="s">
        <v>1147</v>
      </c>
      <c r="S16" s="1" t="s">
        <v>1146</v>
      </c>
      <c r="T16" s="1" t="s">
        <v>1156</v>
      </c>
    </row>
    <row r="17" spans="1:25">
      <c r="A17" s="1" t="s">
        <v>984</v>
      </c>
      <c r="B17" s="1" t="s">
        <v>1108</v>
      </c>
      <c r="C17" s="1">
        <f t="shared" si="0"/>
        <v>6</v>
      </c>
      <c r="D17" s="1">
        <f t="shared" si="1"/>
        <v>11</v>
      </c>
      <c r="E17" s="1" t="str">
        <f t="shared" si="3"/>
        <v>甘草</v>
      </c>
      <c r="F17" s="1" t="str">
        <f t="shared" si="3"/>
        <v>生姜</v>
      </c>
      <c r="G17" s="1" t="str">
        <f t="shared" si="3"/>
        <v>大枣</v>
      </c>
      <c r="H17" s="1">
        <f t="shared" si="3"/>
        <v>0</v>
      </c>
      <c r="I17" s="1" t="str">
        <f t="shared" si="3"/>
        <v>半夏</v>
      </c>
      <c r="J17" s="1" t="str">
        <f t="shared" si="3"/>
        <v>茯苓</v>
      </c>
      <c r="K17" s="1">
        <f t="shared" si="3"/>
        <v>0</v>
      </c>
      <c r="L17" s="1">
        <f t="shared" si="3"/>
        <v>0</v>
      </c>
      <c r="M17" s="1" t="s">
        <v>1181</v>
      </c>
      <c r="N17" s="1" t="s">
        <v>1144</v>
      </c>
      <c r="O17" s="1" t="s">
        <v>1349</v>
      </c>
      <c r="P17" s="1" t="s">
        <v>1180</v>
      </c>
      <c r="Q17" s="1" t="s">
        <v>1283</v>
      </c>
      <c r="R17" s="1" t="s">
        <v>1161</v>
      </c>
      <c r="S17" s="1" t="s">
        <v>1183</v>
      </c>
      <c r="T17" s="1" t="s">
        <v>1158</v>
      </c>
      <c r="U17" s="1" t="s">
        <v>1147</v>
      </c>
      <c r="V17" s="1" t="s">
        <v>1146</v>
      </c>
      <c r="W17" s="1" t="s">
        <v>1156</v>
      </c>
    </row>
    <row r="18" spans="1:25">
      <c r="A18" s="1" t="s">
        <v>987</v>
      </c>
      <c r="B18" s="1" t="s">
        <v>1130</v>
      </c>
      <c r="C18" s="1">
        <f t="shared" si="0"/>
        <v>2</v>
      </c>
      <c r="D18" s="1">
        <f t="shared" si="1"/>
        <v>6</v>
      </c>
      <c r="E18" s="1" t="str">
        <f t="shared" si="3"/>
        <v>甘草</v>
      </c>
      <c r="F18" s="1" t="str">
        <f t="shared" si="3"/>
        <v>生姜</v>
      </c>
      <c r="G18" s="1">
        <f t="shared" si="3"/>
        <v>0</v>
      </c>
      <c r="H18" s="1">
        <f t="shared" si="3"/>
        <v>0</v>
      </c>
      <c r="I18" s="1" t="str">
        <f t="shared" si="3"/>
        <v>半夏</v>
      </c>
      <c r="J18" s="1" t="str">
        <f t="shared" si="3"/>
        <v>茯苓</v>
      </c>
      <c r="K18" s="1">
        <f t="shared" si="3"/>
        <v>0</v>
      </c>
      <c r="L18" s="1">
        <f t="shared" si="3"/>
        <v>0</v>
      </c>
      <c r="M18" s="1" t="s">
        <v>1313</v>
      </c>
      <c r="N18" s="1" t="s">
        <v>1459</v>
      </c>
      <c r="O18" s="1" t="s">
        <v>1183</v>
      </c>
      <c r="P18" s="1" t="s">
        <v>1158</v>
      </c>
      <c r="Q18" s="1" t="s">
        <v>1146</v>
      </c>
      <c r="R18" s="1" t="s">
        <v>1156</v>
      </c>
    </row>
    <row r="19" spans="1:25">
      <c r="A19" s="1" t="s">
        <v>980</v>
      </c>
      <c r="B19" s="1" t="s">
        <v>1079</v>
      </c>
      <c r="C19" s="1">
        <f t="shared" si="0"/>
        <v>5</v>
      </c>
      <c r="D19" s="1">
        <f t="shared" si="1"/>
        <v>8</v>
      </c>
      <c r="E19" s="1" t="str">
        <f t="shared" si="3"/>
        <v>甘草</v>
      </c>
      <c r="F19" s="1" t="str">
        <f t="shared" si="3"/>
        <v>生姜</v>
      </c>
      <c r="G19" s="1">
        <f t="shared" si="3"/>
        <v>0</v>
      </c>
      <c r="H19" s="1">
        <f t="shared" si="3"/>
        <v>0</v>
      </c>
      <c r="I19" s="1">
        <f t="shared" si="3"/>
        <v>0</v>
      </c>
      <c r="J19" s="1" t="str">
        <f t="shared" si="3"/>
        <v>茯苓</v>
      </c>
      <c r="K19" s="1">
        <f t="shared" si="3"/>
        <v>0</v>
      </c>
      <c r="L19" s="1">
        <f t="shared" si="3"/>
        <v>0</v>
      </c>
      <c r="M19" s="1" t="s">
        <v>1187</v>
      </c>
      <c r="N19" s="1" t="s">
        <v>1190</v>
      </c>
      <c r="O19" s="1" t="s">
        <v>1157</v>
      </c>
      <c r="P19" s="1" t="s">
        <v>1166</v>
      </c>
      <c r="Q19" s="1" t="s">
        <v>1350</v>
      </c>
      <c r="R19" s="1" t="s">
        <v>1183</v>
      </c>
      <c r="S19" s="1" t="s">
        <v>1146</v>
      </c>
      <c r="T19" s="1" t="s">
        <v>1156</v>
      </c>
    </row>
    <row r="20" spans="1:25">
      <c r="A20" s="1" t="s">
        <v>969</v>
      </c>
      <c r="B20" s="1" t="s">
        <v>1000</v>
      </c>
      <c r="C20" s="1">
        <f t="shared" si="0"/>
        <v>8</v>
      </c>
      <c r="D20" s="1">
        <f t="shared" si="1"/>
        <v>12</v>
      </c>
      <c r="E20" s="1" t="str">
        <f t="shared" si="3"/>
        <v>甘草</v>
      </c>
      <c r="F20" s="1">
        <f t="shared" si="3"/>
        <v>0</v>
      </c>
      <c r="G20" s="1">
        <f t="shared" si="3"/>
        <v>0</v>
      </c>
      <c r="H20" s="1" t="str">
        <f t="shared" si="3"/>
        <v>人参</v>
      </c>
      <c r="I20" s="1" t="str">
        <f t="shared" si="3"/>
        <v>半夏</v>
      </c>
      <c r="J20" s="1" t="str">
        <f t="shared" si="3"/>
        <v>茯苓</v>
      </c>
      <c r="K20" s="1">
        <f t="shared" si="3"/>
        <v>0</v>
      </c>
      <c r="L20" s="1">
        <f t="shared" si="3"/>
        <v>0</v>
      </c>
      <c r="M20" s="1" t="s">
        <v>1185</v>
      </c>
      <c r="N20" s="1" t="s">
        <v>1181</v>
      </c>
      <c r="O20" s="1" t="s">
        <v>1180</v>
      </c>
      <c r="P20" s="1" t="s">
        <v>1187</v>
      </c>
      <c r="Q20" s="1" t="s">
        <v>1161</v>
      </c>
      <c r="R20" s="1" t="s">
        <v>1188</v>
      </c>
      <c r="S20" s="1" t="s">
        <v>1186</v>
      </c>
      <c r="T20" s="1" t="s">
        <v>1166</v>
      </c>
      <c r="U20" s="1" t="s">
        <v>1183</v>
      </c>
      <c r="V20" s="1" t="s">
        <v>1158</v>
      </c>
      <c r="W20" s="1" t="s">
        <v>1184</v>
      </c>
      <c r="X20" s="1" t="s">
        <v>1156</v>
      </c>
    </row>
    <row r="21" spans="1:25">
      <c r="A21" s="1" t="s">
        <v>971</v>
      </c>
      <c r="B21" s="1" t="s">
        <v>1010</v>
      </c>
      <c r="C21" s="1">
        <f t="shared" si="0"/>
        <v>7</v>
      </c>
      <c r="D21" s="1">
        <f t="shared" si="1"/>
        <v>10</v>
      </c>
      <c r="E21" s="1" t="str">
        <f t="shared" si="3"/>
        <v>甘草</v>
      </c>
      <c r="F21" s="1">
        <f t="shared" si="3"/>
        <v>0</v>
      </c>
      <c r="G21" s="1">
        <f t="shared" si="3"/>
        <v>0</v>
      </c>
      <c r="H21" s="1">
        <f t="shared" si="3"/>
        <v>0</v>
      </c>
      <c r="I21" s="1" t="str">
        <f t="shared" si="3"/>
        <v>半夏</v>
      </c>
      <c r="J21" s="1" t="str">
        <f t="shared" si="3"/>
        <v>茯苓</v>
      </c>
      <c r="K21" s="1">
        <f t="shared" si="3"/>
        <v>0</v>
      </c>
      <c r="L21" s="1">
        <f t="shared" si="3"/>
        <v>0</v>
      </c>
      <c r="M21" s="1" t="s">
        <v>1208</v>
      </c>
      <c r="N21" s="1" t="s">
        <v>1181</v>
      </c>
      <c r="O21" s="1" t="s">
        <v>1207</v>
      </c>
      <c r="P21" s="1" t="s">
        <v>1210</v>
      </c>
      <c r="Q21" s="1" t="s">
        <v>1155</v>
      </c>
      <c r="R21" s="1" t="s">
        <v>1209</v>
      </c>
      <c r="S21" s="1" t="s">
        <v>1166</v>
      </c>
      <c r="T21" s="1" t="s">
        <v>1183</v>
      </c>
      <c r="U21" s="1" t="s">
        <v>1158</v>
      </c>
      <c r="V21" s="1" t="s">
        <v>1156</v>
      </c>
    </row>
    <row r="22" spans="1:25">
      <c r="A22" s="1" t="s">
        <v>978</v>
      </c>
      <c r="B22" s="1" t="s">
        <v>1075</v>
      </c>
      <c r="C22" s="1">
        <f t="shared" si="0"/>
        <v>3</v>
      </c>
      <c r="D22" s="1">
        <f t="shared" si="1"/>
        <v>5</v>
      </c>
      <c r="E22" s="1" t="str">
        <f t="shared" ref="E22:L31" si="4">_xlfn.XLOOKUP(E$1,$M22:$AB22,$M22:$AB22,0,0)</f>
        <v>甘草</v>
      </c>
      <c r="F22" s="1">
        <f t="shared" si="4"/>
        <v>0</v>
      </c>
      <c r="G22" s="1">
        <f t="shared" si="4"/>
        <v>0</v>
      </c>
      <c r="H22" s="1">
        <f t="shared" si="4"/>
        <v>0</v>
      </c>
      <c r="I22" s="1">
        <f t="shared" si="4"/>
        <v>0</v>
      </c>
      <c r="J22" s="1" t="str">
        <f t="shared" si="4"/>
        <v>茯苓</v>
      </c>
      <c r="K22" s="1">
        <f t="shared" si="4"/>
        <v>0</v>
      </c>
      <c r="L22" s="1">
        <f t="shared" si="4"/>
        <v>0</v>
      </c>
      <c r="M22" s="1" t="s">
        <v>1214</v>
      </c>
      <c r="N22" s="1" t="s">
        <v>1285</v>
      </c>
      <c r="O22" s="1" t="s">
        <v>1152</v>
      </c>
      <c r="P22" s="1" t="s">
        <v>1183</v>
      </c>
      <c r="Q22" s="1" t="s">
        <v>1156</v>
      </c>
    </row>
    <row r="23" spans="1:25">
      <c r="A23" s="1" t="s">
        <v>987</v>
      </c>
      <c r="B23" s="1" t="s">
        <v>1472</v>
      </c>
      <c r="C23" s="1">
        <f t="shared" si="0"/>
        <v>3</v>
      </c>
      <c r="D23" s="1">
        <f t="shared" si="1"/>
        <v>5</v>
      </c>
      <c r="E23" s="1" t="str">
        <f t="shared" si="4"/>
        <v>甘草</v>
      </c>
      <c r="F23" s="1">
        <f t="shared" si="4"/>
        <v>0</v>
      </c>
      <c r="G23" s="1">
        <f t="shared" si="4"/>
        <v>0</v>
      </c>
      <c r="H23" s="1">
        <f t="shared" si="4"/>
        <v>0</v>
      </c>
      <c r="I23" s="1">
        <f t="shared" si="4"/>
        <v>0</v>
      </c>
      <c r="J23" s="1" t="str">
        <f t="shared" si="4"/>
        <v>茯苓</v>
      </c>
      <c r="K23" s="1">
        <f t="shared" si="4"/>
        <v>0</v>
      </c>
      <c r="L23" s="1">
        <f t="shared" si="4"/>
        <v>0</v>
      </c>
      <c r="M23" s="1" t="s">
        <v>1151</v>
      </c>
      <c r="N23" s="1" t="s">
        <v>1159</v>
      </c>
      <c r="O23" s="1" t="s">
        <v>1157</v>
      </c>
      <c r="P23" s="1" t="s">
        <v>1183</v>
      </c>
      <c r="Q23" s="1" t="s">
        <v>1156</v>
      </c>
    </row>
    <row r="24" spans="1:25">
      <c r="A24" s="1" t="s">
        <v>985</v>
      </c>
      <c r="B24" s="1" t="s">
        <v>1127</v>
      </c>
      <c r="C24" s="1">
        <f t="shared" si="0"/>
        <v>4</v>
      </c>
      <c r="D24" s="1">
        <f t="shared" si="1"/>
        <v>6</v>
      </c>
      <c r="E24" s="1" t="str">
        <f t="shared" si="4"/>
        <v>甘草</v>
      </c>
      <c r="F24" s="1">
        <f t="shared" si="4"/>
        <v>0</v>
      </c>
      <c r="G24" s="1">
        <f t="shared" si="4"/>
        <v>0</v>
      </c>
      <c r="H24" s="1">
        <f t="shared" si="4"/>
        <v>0</v>
      </c>
      <c r="I24" s="1">
        <f t="shared" si="4"/>
        <v>0</v>
      </c>
      <c r="J24" s="1" t="str">
        <f t="shared" si="4"/>
        <v>茯苓</v>
      </c>
      <c r="K24" s="1">
        <f t="shared" si="4"/>
        <v>0</v>
      </c>
      <c r="L24" s="1">
        <f t="shared" si="4"/>
        <v>0</v>
      </c>
      <c r="M24" s="1" t="s">
        <v>1454</v>
      </c>
      <c r="N24" s="1" t="s">
        <v>1351</v>
      </c>
      <c r="O24" s="1" t="s">
        <v>1440</v>
      </c>
      <c r="P24" s="1" t="s">
        <v>1455</v>
      </c>
      <c r="Q24" s="1" t="s">
        <v>1183</v>
      </c>
      <c r="R24" s="1" t="s">
        <v>1156</v>
      </c>
    </row>
    <row r="25" spans="1:25">
      <c r="A25" s="1" t="s">
        <v>980</v>
      </c>
      <c r="B25" s="1" t="s">
        <v>1078</v>
      </c>
      <c r="C25" s="1">
        <f t="shared" si="0"/>
        <v>2</v>
      </c>
      <c r="D25" s="1">
        <f t="shared" si="1"/>
        <v>5</v>
      </c>
      <c r="E25" s="1">
        <f t="shared" si="4"/>
        <v>0</v>
      </c>
      <c r="F25" s="1" t="str">
        <f t="shared" si="4"/>
        <v>生姜</v>
      </c>
      <c r="G25" s="1">
        <f t="shared" si="4"/>
        <v>0</v>
      </c>
      <c r="H25" s="1">
        <f t="shared" si="4"/>
        <v>0</v>
      </c>
      <c r="I25" s="1" t="str">
        <f t="shared" si="4"/>
        <v>半夏</v>
      </c>
      <c r="J25" s="1" t="str">
        <f t="shared" si="4"/>
        <v>茯苓</v>
      </c>
      <c r="K25" s="1">
        <f t="shared" si="4"/>
        <v>0</v>
      </c>
      <c r="L25" s="1">
        <f t="shared" si="4"/>
        <v>0</v>
      </c>
      <c r="M25" s="1" t="s">
        <v>1349</v>
      </c>
      <c r="N25" s="1" t="s">
        <v>1190</v>
      </c>
      <c r="O25" s="1" t="s">
        <v>1183</v>
      </c>
      <c r="P25" s="1" t="s">
        <v>1158</v>
      </c>
      <c r="Q25" s="1" t="s">
        <v>1146</v>
      </c>
    </row>
    <row r="26" spans="1:25">
      <c r="A26" s="1" t="s">
        <v>988</v>
      </c>
      <c r="B26" s="1" t="s">
        <v>1140</v>
      </c>
      <c r="C26" s="1">
        <f t="shared" si="0"/>
        <v>11</v>
      </c>
      <c r="D26" s="1">
        <f t="shared" si="1"/>
        <v>13</v>
      </c>
      <c r="E26" s="1">
        <f t="shared" si="4"/>
        <v>0</v>
      </c>
      <c r="F26" s="1">
        <f t="shared" si="4"/>
        <v>0</v>
      </c>
      <c r="G26" s="1">
        <f t="shared" si="4"/>
        <v>0</v>
      </c>
      <c r="H26" s="1" t="str">
        <f t="shared" si="4"/>
        <v>人参</v>
      </c>
      <c r="I26" s="1">
        <f t="shared" si="4"/>
        <v>0</v>
      </c>
      <c r="J26" s="1" t="str">
        <f t="shared" si="4"/>
        <v>茯苓</v>
      </c>
      <c r="K26" s="1">
        <f t="shared" si="4"/>
        <v>0</v>
      </c>
      <c r="L26" s="1">
        <f t="shared" si="4"/>
        <v>0</v>
      </c>
      <c r="M26" s="1" t="s">
        <v>1470</v>
      </c>
      <c r="N26" s="1" t="s">
        <v>1465</v>
      </c>
      <c r="O26" s="1" t="s">
        <v>1282</v>
      </c>
      <c r="P26" s="1" t="s">
        <v>1280</v>
      </c>
      <c r="Q26" s="1" t="s">
        <v>1187</v>
      </c>
      <c r="R26" s="1" t="s">
        <v>1468</v>
      </c>
      <c r="S26" s="1" t="s">
        <v>1166</v>
      </c>
      <c r="T26" s="1" t="s">
        <v>1466</v>
      </c>
      <c r="U26" s="1" t="s">
        <v>1469</v>
      </c>
      <c r="V26" s="1" t="s">
        <v>1467</v>
      </c>
      <c r="W26" s="1" t="s">
        <v>1183</v>
      </c>
      <c r="X26" s="1" t="s">
        <v>1184</v>
      </c>
      <c r="Y26" s="1" t="s">
        <v>1470</v>
      </c>
    </row>
    <row r="27" spans="1:25">
      <c r="A27" s="1" t="s">
        <v>988</v>
      </c>
      <c r="B27" s="1" t="s">
        <v>1137</v>
      </c>
      <c r="C27" s="1">
        <f t="shared" si="0"/>
        <v>5</v>
      </c>
      <c r="D27" s="1">
        <f t="shared" si="1"/>
        <v>7</v>
      </c>
      <c r="E27" s="1">
        <f t="shared" si="4"/>
        <v>0</v>
      </c>
      <c r="F27" s="1">
        <f t="shared" si="4"/>
        <v>0</v>
      </c>
      <c r="G27" s="1">
        <f t="shared" si="4"/>
        <v>0</v>
      </c>
      <c r="H27" s="1">
        <f t="shared" si="4"/>
        <v>0</v>
      </c>
      <c r="I27" s="1" t="str">
        <f t="shared" si="4"/>
        <v>半夏</v>
      </c>
      <c r="J27" s="1" t="str">
        <f t="shared" si="4"/>
        <v>茯苓</v>
      </c>
      <c r="K27" s="1">
        <f t="shared" si="4"/>
        <v>0</v>
      </c>
      <c r="L27" s="1">
        <f t="shared" si="4"/>
        <v>0</v>
      </c>
      <c r="M27" s="1" t="s">
        <v>1348</v>
      </c>
      <c r="N27" s="1" t="s">
        <v>1465</v>
      </c>
      <c r="O27" s="1" t="s">
        <v>1167</v>
      </c>
      <c r="P27" s="1" t="s">
        <v>1464</v>
      </c>
      <c r="Q27" s="1" t="s">
        <v>1166</v>
      </c>
      <c r="R27" s="1" t="s">
        <v>1183</v>
      </c>
      <c r="S27" s="1" t="s">
        <v>1158</v>
      </c>
    </row>
    <row r="28" spans="1:25">
      <c r="A28" s="1" t="s">
        <v>985</v>
      </c>
      <c r="B28" s="1" t="s">
        <v>1123</v>
      </c>
      <c r="C28" s="1">
        <f t="shared" si="0"/>
        <v>4</v>
      </c>
      <c r="D28" s="1">
        <f t="shared" si="1"/>
        <v>5</v>
      </c>
      <c r="E28" s="1">
        <f t="shared" si="4"/>
        <v>0</v>
      </c>
      <c r="F28" s="1">
        <f t="shared" si="4"/>
        <v>0</v>
      </c>
      <c r="G28" s="1">
        <f t="shared" si="4"/>
        <v>0</v>
      </c>
      <c r="H28" s="1">
        <f t="shared" si="4"/>
        <v>0</v>
      </c>
      <c r="I28" s="1">
        <f t="shared" si="4"/>
        <v>0</v>
      </c>
      <c r="J28" s="1" t="str">
        <f t="shared" si="4"/>
        <v>茯苓</v>
      </c>
      <c r="K28" s="1">
        <f t="shared" si="4"/>
        <v>0</v>
      </c>
      <c r="L28" s="1">
        <f t="shared" si="4"/>
        <v>0</v>
      </c>
      <c r="M28" s="1" t="s">
        <v>1449</v>
      </c>
      <c r="N28" s="1" t="s">
        <v>1203</v>
      </c>
      <c r="O28" s="1" t="s">
        <v>1209</v>
      </c>
      <c r="P28" s="1" t="s">
        <v>1287</v>
      </c>
      <c r="Q28" s="1" t="s">
        <v>1183</v>
      </c>
    </row>
    <row r="29" spans="1:25">
      <c r="A29" s="1" t="s">
        <v>976</v>
      </c>
      <c r="B29" s="1" t="s">
        <v>1057</v>
      </c>
      <c r="C29" s="1">
        <f t="shared" si="0"/>
        <v>5</v>
      </c>
      <c r="D29" s="1">
        <f t="shared" si="1"/>
        <v>6</v>
      </c>
      <c r="E29" s="1">
        <f t="shared" si="4"/>
        <v>0</v>
      </c>
      <c r="F29" s="1">
        <f t="shared" si="4"/>
        <v>0</v>
      </c>
      <c r="G29" s="1">
        <f t="shared" si="4"/>
        <v>0</v>
      </c>
      <c r="H29" s="1">
        <f t="shared" si="4"/>
        <v>0</v>
      </c>
      <c r="I29" s="1">
        <f t="shared" si="4"/>
        <v>0</v>
      </c>
      <c r="J29" s="1" t="str">
        <f t="shared" si="4"/>
        <v>茯苓</v>
      </c>
      <c r="K29" s="1">
        <f t="shared" si="4"/>
        <v>0</v>
      </c>
      <c r="L29" s="1">
        <f t="shared" si="4"/>
        <v>0</v>
      </c>
      <c r="M29" s="1" t="s">
        <v>1203</v>
      </c>
      <c r="N29" s="1" t="s">
        <v>1259</v>
      </c>
      <c r="O29" s="1" t="s">
        <v>1290</v>
      </c>
      <c r="P29" s="1" t="s">
        <v>1282</v>
      </c>
      <c r="Q29" s="1" t="s">
        <v>1258</v>
      </c>
      <c r="R29" s="1" t="s">
        <v>1183</v>
      </c>
    </row>
    <row r="30" spans="1:25">
      <c r="A30" s="1" t="s">
        <v>981</v>
      </c>
      <c r="B30" s="1" t="s">
        <v>1094</v>
      </c>
      <c r="C30" s="1">
        <f t="shared" si="0"/>
        <v>5</v>
      </c>
      <c r="D30" s="1">
        <f t="shared" si="1"/>
        <v>6</v>
      </c>
      <c r="E30" s="1">
        <f t="shared" si="4"/>
        <v>0</v>
      </c>
      <c r="F30" s="1">
        <f t="shared" si="4"/>
        <v>0</v>
      </c>
      <c r="G30" s="1">
        <f t="shared" si="4"/>
        <v>0</v>
      </c>
      <c r="H30" s="1">
        <f t="shared" si="4"/>
        <v>0</v>
      </c>
      <c r="I30" s="1">
        <f t="shared" si="4"/>
        <v>0</v>
      </c>
      <c r="J30" s="1" t="str">
        <f t="shared" si="4"/>
        <v>茯苓</v>
      </c>
      <c r="K30" s="1">
        <f t="shared" si="4"/>
        <v>0</v>
      </c>
      <c r="L30" s="1">
        <f t="shared" si="4"/>
        <v>0</v>
      </c>
      <c r="M30" s="1" t="s">
        <v>1194</v>
      </c>
      <c r="N30" s="1" t="s">
        <v>1145</v>
      </c>
      <c r="O30" s="1" t="s">
        <v>1143</v>
      </c>
      <c r="P30" s="1" t="s">
        <v>1258</v>
      </c>
      <c r="Q30" s="1" t="s">
        <v>1368</v>
      </c>
      <c r="R30" s="1" t="s">
        <v>1183</v>
      </c>
    </row>
    <row r="31" spans="1:25">
      <c r="A31" s="1" t="s">
        <v>987</v>
      </c>
      <c r="B31" s="1" t="s">
        <v>1134</v>
      </c>
      <c r="C31" s="1">
        <f t="shared" si="0"/>
        <v>5</v>
      </c>
      <c r="D31" s="1">
        <f t="shared" si="1"/>
        <v>6</v>
      </c>
      <c r="E31" s="1">
        <f t="shared" si="4"/>
        <v>0</v>
      </c>
      <c r="F31" s="1">
        <f t="shared" si="4"/>
        <v>0</v>
      </c>
      <c r="G31" s="1">
        <f t="shared" si="4"/>
        <v>0</v>
      </c>
      <c r="H31" s="1">
        <f t="shared" si="4"/>
        <v>0</v>
      </c>
      <c r="I31" s="1">
        <f t="shared" si="4"/>
        <v>0</v>
      </c>
      <c r="J31" s="1" t="str">
        <f t="shared" si="4"/>
        <v>茯苓</v>
      </c>
      <c r="K31" s="1">
        <f t="shared" si="4"/>
        <v>0</v>
      </c>
      <c r="L31" s="1">
        <f t="shared" si="4"/>
        <v>0</v>
      </c>
      <c r="M31" s="1" t="s">
        <v>1237</v>
      </c>
      <c r="N31" s="1" t="s">
        <v>1459</v>
      </c>
      <c r="O31" s="1" t="s">
        <v>1161</v>
      </c>
      <c r="P31" s="1" t="s">
        <v>1462</v>
      </c>
      <c r="Q31" s="1" t="s">
        <v>1231</v>
      </c>
      <c r="R31" s="1" t="s">
        <v>1183</v>
      </c>
    </row>
    <row r="32" spans="1:25">
      <c r="A32" s="1" t="s">
        <v>976</v>
      </c>
      <c r="B32" s="1" t="s">
        <v>1062</v>
      </c>
      <c r="C32" s="1">
        <f t="shared" si="0"/>
        <v>7</v>
      </c>
      <c r="D32" s="1">
        <f t="shared" si="1"/>
        <v>8</v>
      </c>
      <c r="E32" s="1">
        <f t="shared" ref="E32:L41" si="5">_xlfn.XLOOKUP(E$1,$M32:$AB32,$M32:$AB32,0,0)</f>
        <v>0</v>
      </c>
      <c r="F32" s="1">
        <f t="shared" si="5"/>
        <v>0</v>
      </c>
      <c r="G32" s="1">
        <f t="shared" si="5"/>
        <v>0</v>
      </c>
      <c r="H32" s="1">
        <f t="shared" si="5"/>
        <v>0</v>
      </c>
      <c r="I32" s="1">
        <f t="shared" si="5"/>
        <v>0</v>
      </c>
      <c r="J32" s="1" t="str">
        <f t="shared" si="5"/>
        <v>茯苓</v>
      </c>
      <c r="K32" s="1">
        <f t="shared" si="5"/>
        <v>0</v>
      </c>
      <c r="L32" s="1">
        <f t="shared" si="5"/>
        <v>0</v>
      </c>
      <c r="M32" s="1" t="s">
        <v>1203</v>
      </c>
      <c r="N32" s="1" t="s">
        <v>1290</v>
      </c>
      <c r="O32" s="1" t="s">
        <v>1282</v>
      </c>
      <c r="P32" s="1" t="s">
        <v>1304</v>
      </c>
      <c r="Q32" s="1" t="s">
        <v>1143</v>
      </c>
      <c r="R32" s="1" t="s">
        <v>1303</v>
      </c>
      <c r="S32" s="1" t="s">
        <v>1258</v>
      </c>
      <c r="T32" s="1" t="s">
        <v>1183</v>
      </c>
    </row>
    <row r="33" spans="1:24">
      <c r="A33" s="1" t="s">
        <v>987</v>
      </c>
      <c r="B33" s="1" t="s">
        <v>1132</v>
      </c>
      <c r="C33" s="1">
        <f t="shared" si="0"/>
        <v>7</v>
      </c>
      <c r="D33" s="1">
        <f t="shared" si="1"/>
        <v>8</v>
      </c>
      <c r="E33" s="1">
        <f t="shared" si="5"/>
        <v>0</v>
      </c>
      <c r="F33" s="1">
        <f t="shared" si="5"/>
        <v>0</v>
      </c>
      <c r="G33" s="1">
        <f t="shared" si="5"/>
        <v>0</v>
      </c>
      <c r="H33" s="1">
        <f t="shared" si="5"/>
        <v>0</v>
      </c>
      <c r="I33" s="1">
        <f t="shared" si="5"/>
        <v>0</v>
      </c>
      <c r="J33" s="1" t="str">
        <f t="shared" si="5"/>
        <v>茯苓</v>
      </c>
      <c r="K33" s="1">
        <f t="shared" si="5"/>
        <v>0</v>
      </c>
      <c r="L33" s="1">
        <f t="shared" si="5"/>
        <v>0</v>
      </c>
      <c r="M33" s="1" t="s">
        <v>1498</v>
      </c>
      <c r="N33" s="1" t="s">
        <v>1144</v>
      </c>
      <c r="O33" s="1" t="s">
        <v>1369</v>
      </c>
      <c r="P33" s="1" t="s">
        <v>1475</v>
      </c>
      <c r="Q33" s="1" t="s">
        <v>1166</v>
      </c>
      <c r="R33" s="1" t="s">
        <v>1460</v>
      </c>
      <c r="S33" s="1" t="s">
        <v>1330</v>
      </c>
      <c r="T33" s="1" t="s">
        <v>1183</v>
      </c>
    </row>
    <row r="34" spans="1:24">
      <c r="A34" s="1" t="s">
        <v>976</v>
      </c>
      <c r="B34" s="1" t="s">
        <v>1064</v>
      </c>
      <c r="C34" s="1">
        <f t="shared" ref="C34:C65" si="6">D34-COUNTIF(E34:L34,"&lt;&gt;0")</f>
        <v>11</v>
      </c>
      <c r="D34" s="1">
        <f t="shared" ref="D34:D65" si="7">COUNTA(M34:AB34)</f>
        <v>12</v>
      </c>
      <c r="E34" s="1">
        <f t="shared" si="5"/>
        <v>0</v>
      </c>
      <c r="F34" s="1">
        <f t="shared" si="5"/>
        <v>0</v>
      </c>
      <c r="G34" s="1">
        <f t="shared" si="5"/>
        <v>0</v>
      </c>
      <c r="H34" s="1">
        <f t="shared" si="5"/>
        <v>0</v>
      </c>
      <c r="I34" s="1">
        <f t="shared" si="5"/>
        <v>0</v>
      </c>
      <c r="J34" s="1" t="str">
        <f t="shared" si="5"/>
        <v>茯苓</v>
      </c>
      <c r="K34" s="1">
        <f t="shared" si="5"/>
        <v>0</v>
      </c>
      <c r="L34" s="1">
        <f t="shared" si="5"/>
        <v>0</v>
      </c>
      <c r="M34" s="1" t="s">
        <v>1286</v>
      </c>
      <c r="N34" s="1" t="s">
        <v>1159</v>
      </c>
      <c r="O34" s="1" t="s">
        <v>1307</v>
      </c>
      <c r="P34" s="1" t="s">
        <v>1265</v>
      </c>
      <c r="Q34" s="1" t="s">
        <v>1290</v>
      </c>
      <c r="R34" s="1" t="s">
        <v>1202</v>
      </c>
      <c r="S34" s="1" t="s">
        <v>1304</v>
      </c>
      <c r="T34" s="1" t="s">
        <v>1216</v>
      </c>
      <c r="U34" s="1" t="s">
        <v>1253</v>
      </c>
      <c r="V34" s="1" t="s">
        <v>1309</v>
      </c>
      <c r="W34" s="1" t="s">
        <v>1308</v>
      </c>
      <c r="X34" s="1" t="s">
        <v>1183</v>
      </c>
    </row>
    <row r="35" spans="1:24">
      <c r="A35" s="1" t="s">
        <v>976</v>
      </c>
      <c r="B35" s="1" t="s">
        <v>1050</v>
      </c>
      <c r="C35" s="1">
        <f t="shared" si="6"/>
        <v>4</v>
      </c>
      <c r="D35" s="1">
        <f t="shared" si="7"/>
        <v>8</v>
      </c>
      <c r="E35" s="1" t="str">
        <f t="shared" si="5"/>
        <v>甘草</v>
      </c>
      <c r="F35" s="1">
        <f t="shared" si="5"/>
        <v>0</v>
      </c>
      <c r="G35" s="1">
        <f t="shared" si="5"/>
        <v>0</v>
      </c>
      <c r="H35" s="1" t="str">
        <f t="shared" si="5"/>
        <v>人参</v>
      </c>
      <c r="I35" s="1">
        <f t="shared" si="5"/>
        <v>0</v>
      </c>
      <c r="J35" s="1">
        <f t="shared" si="5"/>
        <v>0</v>
      </c>
      <c r="K35" s="1" t="str">
        <f t="shared" si="5"/>
        <v>当归</v>
      </c>
      <c r="L35" s="1" t="str">
        <f t="shared" si="5"/>
        <v>白术</v>
      </c>
      <c r="M35" s="1" t="s">
        <v>1204</v>
      </c>
      <c r="N35" s="1" t="s">
        <v>1283</v>
      </c>
      <c r="O35" s="1" t="s">
        <v>1260</v>
      </c>
      <c r="P35" s="1" t="s">
        <v>1178</v>
      </c>
      <c r="Q35" s="1" t="s">
        <v>1212</v>
      </c>
      <c r="R35" s="1" t="s">
        <v>1198</v>
      </c>
      <c r="S35" s="1" t="s">
        <v>1184</v>
      </c>
      <c r="T35" s="1" t="s">
        <v>1156</v>
      </c>
    </row>
    <row r="36" spans="1:24">
      <c r="A36" s="1" t="s">
        <v>977</v>
      </c>
      <c r="B36" s="1" t="s">
        <v>1067</v>
      </c>
      <c r="C36" s="1">
        <f t="shared" si="6"/>
        <v>6</v>
      </c>
      <c r="D36" s="1">
        <f t="shared" si="7"/>
        <v>10</v>
      </c>
      <c r="E36" s="1" t="str">
        <f t="shared" si="5"/>
        <v>甘草</v>
      </c>
      <c r="F36" s="1">
        <f t="shared" si="5"/>
        <v>0</v>
      </c>
      <c r="G36" s="1">
        <f t="shared" si="5"/>
        <v>0</v>
      </c>
      <c r="H36" s="1" t="str">
        <f t="shared" si="5"/>
        <v>人参</v>
      </c>
      <c r="I36" s="1">
        <f t="shared" si="5"/>
        <v>0</v>
      </c>
      <c r="J36" s="1">
        <f t="shared" si="5"/>
        <v>0</v>
      </c>
      <c r="K36" s="1" t="str">
        <f t="shared" si="5"/>
        <v>当归</v>
      </c>
      <c r="L36" s="1" t="str">
        <f t="shared" si="5"/>
        <v>白术</v>
      </c>
      <c r="M36" s="1" t="s">
        <v>1314</v>
      </c>
      <c r="N36" s="1" t="s">
        <v>1273</v>
      </c>
      <c r="O36" s="1" t="s">
        <v>1315</v>
      </c>
      <c r="P36" s="1" t="s">
        <v>1187</v>
      </c>
      <c r="Q36" s="1" t="s">
        <v>1316</v>
      </c>
      <c r="R36" s="1" t="s">
        <v>1211</v>
      </c>
      <c r="S36" s="1" t="s">
        <v>1212</v>
      </c>
      <c r="T36" s="1" t="s">
        <v>1198</v>
      </c>
      <c r="U36" s="1" t="s">
        <v>1184</v>
      </c>
      <c r="V36" s="1" t="s">
        <v>1156</v>
      </c>
    </row>
    <row r="37" spans="1:24">
      <c r="A37" s="1" t="s">
        <v>985</v>
      </c>
      <c r="B37" s="1" t="s">
        <v>1124</v>
      </c>
      <c r="C37" s="1">
        <f t="shared" si="6"/>
        <v>2</v>
      </c>
      <c r="D37" s="1">
        <f t="shared" si="7"/>
        <v>6</v>
      </c>
      <c r="E37" s="1" t="str">
        <f t="shared" si="5"/>
        <v>甘草</v>
      </c>
      <c r="F37" s="1" t="str">
        <f t="shared" si="5"/>
        <v>生姜</v>
      </c>
      <c r="G37" s="1" t="str">
        <f t="shared" si="5"/>
        <v>大枣</v>
      </c>
      <c r="H37" s="1">
        <f t="shared" si="5"/>
        <v>0</v>
      </c>
      <c r="I37" s="1">
        <f t="shared" si="5"/>
        <v>0</v>
      </c>
      <c r="J37" s="1">
        <f t="shared" si="5"/>
        <v>0</v>
      </c>
      <c r="K37" s="1">
        <f t="shared" si="5"/>
        <v>0</v>
      </c>
      <c r="L37" s="1" t="str">
        <f t="shared" si="5"/>
        <v>白术</v>
      </c>
      <c r="M37" s="1" t="s">
        <v>1260</v>
      </c>
      <c r="N37" s="1" t="s">
        <v>1450</v>
      </c>
      <c r="O37" s="1" t="s">
        <v>1212</v>
      </c>
      <c r="P37" s="1" t="s">
        <v>1147</v>
      </c>
      <c r="Q37" s="1" t="s">
        <v>1146</v>
      </c>
      <c r="R37" s="1" t="s">
        <v>1156</v>
      </c>
    </row>
    <row r="38" spans="1:24">
      <c r="A38" s="1" t="s">
        <v>974</v>
      </c>
      <c r="B38" s="1" t="s">
        <v>1037</v>
      </c>
      <c r="C38" s="1">
        <f t="shared" si="6"/>
        <v>1</v>
      </c>
      <c r="D38" s="1">
        <f t="shared" si="7"/>
        <v>4</v>
      </c>
      <c r="E38" s="1" t="str">
        <f t="shared" si="5"/>
        <v>甘草</v>
      </c>
      <c r="F38" s="1">
        <f t="shared" si="5"/>
        <v>0</v>
      </c>
      <c r="G38" s="1">
        <f t="shared" si="5"/>
        <v>0</v>
      </c>
      <c r="H38" s="1" t="str">
        <f t="shared" si="5"/>
        <v>人参</v>
      </c>
      <c r="I38" s="1">
        <f t="shared" si="5"/>
        <v>0</v>
      </c>
      <c r="J38" s="1">
        <f t="shared" si="5"/>
        <v>0</v>
      </c>
      <c r="K38" s="1">
        <f t="shared" si="5"/>
        <v>0</v>
      </c>
      <c r="L38" s="1" t="str">
        <f t="shared" si="5"/>
        <v>白术</v>
      </c>
      <c r="M38" s="1" t="s">
        <v>1157</v>
      </c>
      <c r="N38" s="1" t="s">
        <v>1212</v>
      </c>
      <c r="O38" s="1" t="s">
        <v>1184</v>
      </c>
      <c r="P38" s="1" t="s">
        <v>1156</v>
      </c>
    </row>
    <row r="39" spans="1:24">
      <c r="A39" s="1" t="s">
        <v>981</v>
      </c>
      <c r="B39" s="1" t="s">
        <v>1098</v>
      </c>
      <c r="C39" s="1">
        <f t="shared" si="6"/>
        <v>5</v>
      </c>
      <c r="D39" s="1">
        <f t="shared" si="7"/>
        <v>7</v>
      </c>
      <c r="E39" s="1" t="str">
        <f t="shared" si="5"/>
        <v>甘草</v>
      </c>
      <c r="F39" s="1">
        <f t="shared" si="5"/>
        <v>0</v>
      </c>
      <c r="G39" s="1">
        <f t="shared" si="5"/>
        <v>0</v>
      </c>
      <c r="H39" s="1">
        <f t="shared" si="5"/>
        <v>0</v>
      </c>
      <c r="I39" s="1">
        <f t="shared" si="5"/>
        <v>0</v>
      </c>
      <c r="J39" s="1">
        <f t="shared" si="5"/>
        <v>0</v>
      </c>
      <c r="K39" s="1">
        <f t="shared" si="5"/>
        <v>0</v>
      </c>
      <c r="L39" s="1" t="str">
        <f t="shared" si="5"/>
        <v>白术</v>
      </c>
      <c r="M39" s="1" t="s">
        <v>1304</v>
      </c>
      <c r="N39" s="1" t="s">
        <v>1155</v>
      </c>
      <c r="O39" s="1" t="s">
        <v>1303</v>
      </c>
      <c r="P39" s="1" t="s">
        <v>1380</v>
      </c>
      <c r="Q39" s="1" t="s">
        <v>1287</v>
      </c>
      <c r="R39" s="1" t="s">
        <v>1212</v>
      </c>
      <c r="S39" s="1" t="s">
        <v>1156</v>
      </c>
    </row>
    <row r="40" spans="1:24">
      <c r="A40" s="1" t="s">
        <v>976</v>
      </c>
      <c r="B40" s="1" t="s">
        <v>1052</v>
      </c>
      <c r="C40" s="1">
        <f t="shared" si="6"/>
        <v>2</v>
      </c>
      <c r="D40" s="1">
        <f t="shared" si="7"/>
        <v>3</v>
      </c>
      <c r="E40" s="1">
        <f t="shared" si="5"/>
        <v>0</v>
      </c>
      <c r="F40" s="1">
        <f t="shared" si="5"/>
        <v>0</v>
      </c>
      <c r="G40" s="1">
        <f t="shared" si="5"/>
        <v>0</v>
      </c>
      <c r="H40" s="1">
        <f t="shared" si="5"/>
        <v>0</v>
      </c>
      <c r="I40" s="1">
        <f t="shared" si="5"/>
        <v>0</v>
      </c>
      <c r="J40" s="1">
        <f t="shared" si="5"/>
        <v>0</v>
      </c>
      <c r="K40" s="1">
        <f t="shared" si="5"/>
        <v>0</v>
      </c>
      <c r="L40" s="1" t="str">
        <f t="shared" si="5"/>
        <v>白术</v>
      </c>
      <c r="M40" s="1" t="s">
        <v>1155</v>
      </c>
      <c r="N40" s="1" t="s">
        <v>1149</v>
      </c>
      <c r="O40" s="1" t="s">
        <v>1212</v>
      </c>
    </row>
    <row r="41" spans="1:24">
      <c r="A41" s="1" t="s">
        <v>971</v>
      </c>
      <c r="B41" s="1" t="s">
        <v>1013</v>
      </c>
      <c r="C41" s="1">
        <f t="shared" si="6"/>
        <v>3</v>
      </c>
      <c r="D41" s="1">
        <f t="shared" si="7"/>
        <v>4</v>
      </c>
      <c r="E41" s="1">
        <f t="shared" si="5"/>
        <v>0</v>
      </c>
      <c r="F41" s="1">
        <f t="shared" si="5"/>
        <v>0</v>
      </c>
      <c r="G41" s="1">
        <f t="shared" si="5"/>
        <v>0</v>
      </c>
      <c r="H41" s="1">
        <f t="shared" si="5"/>
        <v>0</v>
      </c>
      <c r="I41" s="1">
        <f t="shared" si="5"/>
        <v>0</v>
      </c>
      <c r="J41" s="1">
        <f t="shared" si="5"/>
        <v>0</v>
      </c>
      <c r="K41" s="1">
        <f t="shared" si="5"/>
        <v>0</v>
      </c>
      <c r="L41" s="1" t="str">
        <f t="shared" si="5"/>
        <v>白术</v>
      </c>
      <c r="M41" s="1" t="s">
        <v>1149</v>
      </c>
      <c r="N41" s="1" t="s">
        <v>1166</v>
      </c>
      <c r="O41" s="1" t="s">
        <v>1211</v>
      </c>
      <c r="P41" s="1" t="s">
        <v>1212</v>
      </c>
    </row>
    <row r="42" spans="1:24">
      <c r="A42" s="1" t="s">
        <v>977</v>
      </c>
      <c r="B42" s="1" t="s">
        <v>1070</v>
      </c>
      <c r="C42" s="1">
        <f t="shared" si="6"/>
        <v>9</v>
      </c>
      <c r="D42" s="1">
        <f t="shared" si="7"/>
        <v>10</v>
      </c>
      <c r="E42" s="1">
        <f t="shared" ref="E42:L51" si="8">_xlfn.XLOOKUP(E$1,$M42:$AB42,$M42:$AB42,0,0)</f>
        <v>0</v>
      </c>
      <c r="F42" s="1">
        <f t="shared" si="8"/>
        <v>0</v>
      </c>
      <c r="G42" s="1">
        <f t="shared" si="8"/>
        <v>0</v>
      </c>
      <c r="H42" s="1">
        <f t="shared" si="8"/>
        <v>0</v>
      </c>
      <c r="I42" s="1">
        <f t="shared" si="8"/>
        <v>0</v>
      </c>
      <c r="J42" s="1">
        <f t="shared" si="8"/>
        <v>0</v>
      </c>
      <c r="K42" s="1">
        <f t="shared" si="8"/>
        <v>0</v>
      </c>
      <c r="L42" s="1" t="str">
        <f t="shared" si="8"/>
        <v>白术</v>
      </c>
      <c r="M42" s="1" t="s">
        <v>1328</v>
      </c>
      <c r="N42" s="1" t="s">
        <v>1329</v>
      </c>
      <c r="O42" s="1" t="s">
        <v>1322</v>
      </c>
      <c r="P42" s="1" t="s">
        <v>1325</v>
      </c>
      <c r="Q42" s="1" t="s">
        <v>1324</v>
      </c>
      <c r="R42" s="1" t="s">
        <v>1327</v>
      </c>
      <c r="S42" s="1" t="s">
        <v>1326</v>
      </c>
      <c r="T42" s="1" t="s">
        <v>1311</v>
      </c>
      <c r="U42" s="1" t="s">
        <v>1323</v>
      </c>
      <c r="V42" s="1" t="s">
        <v>1212</v>
      </c>
    </row>
    <row r="43" spans="1:24">
      <c r="A43" s="1" t="s">
        <v>970</v>
      </c>
      <c r="B43" s="1" t="s">
        <v>1008</v>
      </c>
      <c r="C43" s="1">
        <f t="shared" si="6"/>
        <v>5</v>
      </c>
      <c r="D43" s="1">
        <f t="shared" si="7"/>
        <v>10</v>
      </c>
      <c r="E43" s="1" t="str">
        <f t="shared" si="8"/>
        <v>甘草</v>
      </c>
      <c r="F43" s="1" t="str">
        <f t="shared" si="8"/>
        <v>生姜</v>
      </c>
      <c r="G43" s="1" t="str">
        <f t="shared" si="8"/>
        <v>大枣</v>
      </c>
      <c r="H43" s="1" t="str">
        <f t="shared" si="8"/>
        <v>人参</v>
      </c>
      <c r="I43" s="1">
        <f t="shared" si="8"/>
        <v>0</v>
      </c>
      <c r="J43" s="1">
        <f t="shared" si="8"/>
        <v>0</v>
      </c>
      <c r="K43" s="1" t="str">
        <f t="shared" si="8"/>
        <v>当归</v>
      </c>
      <c r="L43" s="1">
        <f t="shared" si="8"/>
        <v>0</v>
      </c>
      <c r="M43" s="1" t="s">
        <v>1191</v>
      </c>
      <c r="N43" s="1" t="s">
        <v>1192</v>
      </c>
      <c r="O43" s="1" t="s">
        <v>1161</v>
      </c>
      <c r="P43" s="1" t="s">
        <v>1190</v>
      </c>
      <c r="Q43" s="1" t="s">
        <v>1189</v>
      </c>
      <c r="R43" s="1" t="s">
        <v>1198</v>
      </c>
      <c r="S43" s="1" t="s">
        <v>1184</v>
      </c>
      <c r="T43" s="1" t="s">
        <v>1147</v>
      </c>
      <c r="U43" s="1" t="s">
        <v>1146</v>
      </c>
      <c r="V43" s="1" t="s">
        <v>1156</v>
      </c>
    </row>
    <row r="44" spans="1:24">
      <c r="A44" s="1" t="s">
        <v>981</v>
      </c>
      <c r="B44" s="1" t="s">
        <v>1091</v>
      </c>
      <c r="C44" s="1">
        <f t="shared" si="6"/>
        <v>7</v>
      </c>
      <c r="D44" s="1">
        <f t="shared" si="7"/>
        <v>12</v>
      </c>
      <c r="E44" s="1" t="str">
        <f t="shared" si="8"/>
        <v>甘草</v>
      </c>
      <c r="F44" s="1" t="str">
        <f t="shared" si="8"/>
        <v>生姜</v>
      </c>
      <c r="G44" s="1">
        <f t="shared" si="8"/>
        <v>0</v>
      </c>
      <c r="H44" s="1" t="str">
        <f t="shared" si="8"/>
        <v>人参</v>
      </c>
      <c r="I44" s="1" t="str">
        <f t="shared" si="8"/>
        <v>半夏</v>
      </c>
      <c r="J44" s="1">
        <f t="shared" si="8"/>
        <v>0</v>
      </c>
      <c r="K44" s="1" t="str">
        <f t="shared" si="8"/>
        <v>当归</v>
      </c>
      <c r="L44" s="1">
        <f t="shared" si="8"/>
        <v>0</v>
      </c>
      <c r="M44" s="1" t="s">
        <v>1244</v>
      </c>
      <c r="N44" s="1" t="s">
        <v>1145</v>
      </c>
      <c r="O44" s="1" t="s">
        <v>1193</v>
      </c>
      <c r="P44" s="1" t="s">
        <v>1220</v>
      </c>
      <c r="Q44" s="1" t="s">
        <v>1143</v>
      </c>
      <c r="R44" s="1" t="s">
        <v>1152</v>
      </c>
      <c r="S44" s="1" t="s">
        <v>1287</v>
      </c>
      <c r="T44" s="1" t="s">
        <v>1198</v>
      </c>
      <c r="U44" s="1" t="s">
        <v>1158</v>
      </c>
      <c r="V44" s="1" t="s">
        <v>1184</v>
      </c>
      <c r="W44" s="1" t="s">
        <v>1146</v>
      </c>
      <c r="X44" s="1" t="s">
        <v>1156</v>
      </c>
    </row>
    <row r="45" spans="1:24">
      <c r="A45" s="1" t="s">
        <v>980</v>
      </c>
      <c r="B45" s="1" t="s">
        <v>1084</v>
      </c>
      <c r="C45" s="1">
        <f t="shared" si="6"/>
        <v>5</v>
      </c>
      <c r="D45" s="1">
        <f t="shared" si="7"/>
        <v>10</v>
      </c>
      <c r="E45" s="1" t="str">
        <f t="shared" si="8"/>
        <v>甘草</v>
      </c>
      <c r="F45" s="1" t="str">
        <f t="shared" si="8"/>
        <v>生姜</v>
      </c>
      <c r="G45" s="1" t="str">
        <f t="shared" si="8"/>
        <v>大枣</v>
      </c>
      <c r="H45" s="1">
        <f t="shared" si="8"/>
        <v>0</v>
      </c>
      <c r="I45" s="1" t="str">
        <f t="shared" si="8"/>
        <v>半夏</v>
      </c>
      <c r="J45" s="1">
        <f t="shared" si="8"/>
        <v>0</v>
      </c>
      <c r="K45" s="1" t="str">
        <f t="shared" si="8"/>
        <v>当归</v>
      </c>
      <c r="L45" s="1">
        <f t="shared" si="8"/>
        <v>0</v>
      </c>
      <c r="M45" s="1" t="s">
        <v>1356</v>
      </c>
      <c r="N45" s="1" t="s">
        <v>1485</v>
      </c>
      <c r="O45" s="1" t="s">
        <v>225</v>
      </c>
      <c r="P45" s="1" t="s">
        <v>1180</v>
      </c>
      <c r="Q45" s="1" t="s">
        <v>1190</v>
      </c>
      <c r="R45" s="1" t="s">
        <v>1198</v>
      </c>
      <c r="S45" s="1" t="s">
        <v>1158</v>
      </c>
      <c r="T45" s="1" t="s">
        <v>1147</v>
      </c>
      <c r="U45" s="1" t="s">
        <v>1146</v>
      </c>
      <c r="V45" s="1" t="s">
        <v>1156</v>
      </c>
    </row>
    <row r="46" spans="1:24">
      <c r="A46" s="1" t="s">
        <v>970</v>
      </c>
      <c r="B46" s="1" t="s">
        <v>1004</v>
      </c>
      <c r="C46" s="1">
        <f t="shared" si="6"/>
        <v>4</v>
      </c>
      <c r="D46" s="1">
        <f t="shared" si="7"/>
        <v>7</v>
      </c>
      <c r="E46" s="1" t="str">
        <f t="shared" si="8"/>
        <v>甘草</v>
      </c>
      <c r="F46" s="1">
        <f t="shared" si="8"/>
        <v>0</v>
      </c>
      <c r="G46" s="1">
        <f t="shared" si="8"/>
        <v>0</v>
      </c>
      <c r="H46" s="1" t="str">
        <f t="shared" si="8"/>
        <v>人参</v>
      </c>
      <c r="I46" s="1">
        <f t="shared" si="8"/>
        <v>0</v>
      </c>
      <c r="J46" s="1">
        <f t="shared" si="8"/>
        <v>0</v>
      </c>
      <c r="K46" s="1" t="str">
        <f t="shared" si="8"/>
        <v>当归</v>
      </c>
      <c r="L46" s="1">
        <f t="shared" si="8"/>
        <v>0</v>
      </c>
      <c r="M46" s="1" t="s">
        <v>1192</v>
      </c>
      <c r="N46" s="1" t="s">
        <v>1157</v>
      </c>
      <c r="O46" s="1" t="s">
        <v>1197</v>
      </c>
      <c r="P46" s="1" t="s">
        <v>1189</v>
      </c>
      <c r="Q46" s="1" t="s">
        <v>1198</v>
      </c>
      <c r="R46" s="1" t="s">
        <v>1184</v>
      </c>
      <c r="S46" s="1" t="s">
        <v>1156</v>
      </c>
    </row>
    <row r="47" spans="1:24">
      <c r="A47" s="1" t="s">
        <v>974</v>
      </c>
      <c r="B47" s="1" t="s">
        <v>1042</v>
      </c>
      <c r="C47" s="1">
        <f t="shared" si="6"/>
        <v>4</v>
      </c>
      <c r="D47" s="1">
        <f t="shared" si="7"/>
        <v>7</v>
      </c>
      <c r="E47" s="1" t="str">
        <f t="shared" si="8"/>
        <v>甘草</v>
      </c>
      <c r="F47" s="1">
        <f t="shared" si="8"/>
        <v>0</v>
      </c>
      <c r="G47" s="1" t="str">
        <f t="shared" si="8"/>
        <v>大枣</v>
      </c>
      <c r="H47" s="1">
        <f t="shared" si="8"/>
        <v>0</v>
      </c>
      <c r="I47" s="1">
        <f t="shared" si="8"/>
        <v>0</v>
      </c>
      <c r="J47" s="1">
        <f t="shared" si="8"/>
        <v>0</v>
      </c>
      <c r="K47" s="1" t="str">
        <f t="shared" si="8"/>
        <v>当归</v>
      </c>
      <c r="L47" s="1">
        <f t="shared" si="8"/>
        <v>0</v>
      </c>
      <c r="M47" s="1" t="s">
        <v>1151</v>
      </c>
      <c r="N47" s="1" t="s">
        <v>1272</v>
      </c>
      <c r="O47" s="1" t="s">
        <v>1145</v>
      </c>
      <c r="P47" s="1" t="s">
        <v>1143</v>
      </c>
      <c r="Q47" s="1" t="s">
        <v>1198</v>
      </c>
      <c r="R47" s="1" t="s">
        <v>1147</v>
      </c>
      <c r="S47" s="1" t="s">
        <v>1156</v>
      </c>
    </row>
    <row r="48" spans="1:24">
      <c r="A48" s="1" t="s">
        <v>978</v>
      </c>
      <c r="B48" s="1" t="s">
        <v>1073</v>
      </c>
      <c r="C48" s="1">
        <f t="shared" si="6"/>
        <v>3</v>
      </c>
      <c r="D48" s="1">
        <f t="shared" si="7"/>
        <v>5</v>
      </c>
      <c r="E48" s="1" t="str">
        <f t="shared" si="8"/>
        <v>甘草</v>
      </c>
      <c r="F48" s="1">
        <f t="shared" si="8"/>
        <v>0</v>
      </c>
      <c r="G48" s="1">
        <f t="shared" si="8"/>
        <v>0</v>
      </c>
      <c r="H48" s="1">
        <f t="shared" si="8"/>
        <v>0</v>
      </c>
      <c r="I48" s="1">
        <f t="shared" si="8"/>
        <v>0</v>
      </c>
      <c r="J48" s="1">
        <f t="shared" si="8"/>
        <v>0</v>
      </c>
      <c r="K48" s="1" t="str">
        <f t="shared" si="8"/>
        <v>当归</v>
      </c>
      <c r="L48" s="1">
        <f t="shared" si="8"/>
        <v>0</v>
      </c>
      <c r="M48" s="1" t="s">
        <v>1336</v>
      </c>
      <c r="N48" s="1" t="s">
        <v>1154</v>
      </c>
      <c r="O48" s="1" t="s">
        <v>1213</v>
      </c>
      <c r="P48" s="1" t="s">
        <v>1198</v>
      </c>
      <c r="Q48" s="1" t="s">
        <v>1156</v>
      </c>
    </row>
    <row r="49" spans="1:27">
      <c r="A49" s="1" t="s">
        <v>981</v>
      </c>
      <c r="B49" s="1" t="s">
        <v>1090</v>
      </c>
      <c r="C49" s="1">
        <f t="shared" si="6"/>
        <v>6</v>
      </c>
      <c r="D49" s="1">
        <f t="shared" si="7"/>
        <v>8</v>
      </c>
      <c r="E49" s="1" t="str">
        <f t="shared" si="8"/>
        <v>甘草</v>
      </c>
      <c r="F49" s="1">
        <f t="shared" si="8"/>
        <v>0</v>
      </c>
      <c r="G49" s="1">
        <f t="shared" si="8"/>
        <v>0</v>
      </c>
      <c r="H49" s="1">
        <f t="shared" si="8"/>
        <v>0</v>
      </c>
      <c r="I49" s="1">
        <f t="shared" si="8"/>
        <v>0</v>
      </c>
      <c r="J49" s="1">
        <f t="shared" si="8"/>
        <v>0</v>
      </c>
      <c r="K49" s="1" t="str">
        <f t="shared" si="8"/>
        <v>当归</v>
      </c>
      <c r="L49" s="1">
        <f t="shared" si="8"/>
        <v>0</v>
      </c>
      <c r="M49" s="1" t="s">
        <v>1194</v>
      </c>
      <c r="N49" s="1" t="s">
        <v>1363</v>
      </c>
      <c r="O49" s="1" t="s">
        <v>1359</v>
      </c>
      <c r="P49" s="1" t="s">
        <v>1362</v>
      </c>
      <c r="Q49" s="1" t="s">
        <v>1189</v>
      </c>
      <c r="R49" s="1" t="s">
        <v>1178</v>
      </c>
      <c r="S49" s="1" t="s">
        <v>1198</v>
      </c>
      <c r="T49" s="1" t="s">
        <v>1156</v>
      </c>
    </row>
    <row r="50" spans="1:27">
      <c r="A50" s="1" t="s">
        <v>972</v>
      </c>
      <c r="B50" s="1" t="s">
        <v>1030</v>
      </c>
      <c r="C50" s="1">
        <f t="shared" si="6"/>
        <v>7</v>
      </c>
      <c r="D50" s="1">
        <f t="shared" si="7"/>
        <v>9</v>
      </c>
      <c r="E50" s="1" t="str">
        <f t="shared" si="8"/>
        <v>甘草</v>
      </c>
      <c r="F50" s="1">
        <f t="shared" si="8"/>
        <v>0</v>
      </c>
      <c r="G50" s="1">
        <f t="shared" si="8"/>
        <v>0</v>
      </c>
      <c r="H50" s="1">
        <f t="shared" si="8"/>
        <v>0</v>
      </c>
      <c r="I50" s="1">
        <f t="shared" si="8"/>
        <v>0</v>
      </c>
      <c r="J50" s="1">
        <f t="shared" si="8"/>
        <v>0</v>
      </c>
      <c r="K50" s="1" t="str">
        <f t="shared" si="8"/>
        <v>当归</v>
      </c>
      <c r="L50" s="1">
        <f t="shared" si="8"/>
        <v>0</v>
      </c>
      <c r="M50" s="1" t="s">
        <v>1145</v>
      </c>
      <c r="N50" s="1" t="s">
        <v>1187</v>
      </c>
      <c r="O50" s="1" t="s">
        <v>1155</v>
      </c>
      <c r="P50" s="1" t="s">
        <v>1213</v>
      </c>
      <c r="Q50" s="1" t="s">
        <v>1253</v>
      </c>
      <c r="R50" s="1" t="s">
        <v>1189</v>
      </c>
      <c r="S50" s="1" t="s">
        <v>1252</v>
      </c>
      <c r="T50" s="1" t="s">
        <v>1198</v>
      </c>
      <c r="U50" s="1" t="s">
        <v>1156</v>
      </c>
    </row>
    <row r="51" spans="1:27">
      <c r="A51" s="1" t="s">
        <v>972</v>
      </c>
      <c r="B51" s="1" t="s">
        <v>1024</v>
      </c>
      <c r="C51" s="1">
        <f t="shared" si="6"/>
        <v>8</v>
      </c>
      <c r="D51" s="1">
        <f t="shared" si="7"/>
        <v>10</v>
      </c>
      <c r="E51" s="1" t="str">
        <f t="shared" si="8"/>
        <v>甘草</v>
      </c>
      <c r="F51" s="1">
        <f t="shared" si="8"/>
        <v>0</v>
      </c>
      <c r="G51" s="1">
        <f t="shared" si="8"/>
        <v>0</v>
      </c>
      <c r="H51" s="1">
        <f t="shared" si="8"/>
        <v>0</v>
      </c>
      <c r="I51" s="1">
        <f t="shared" si="8"/>
        <v>0</v>
      </c>
      <c r="J51" s="1">
        <f t="shared" si="8"/>
        <v>0</v>
      </c>
      <c r="K51" s="1" t="str">
        <f t="shared" si="8"/>
        <v>当归</v>
      </c>
      <c r="L51" s="1">
        <f t="shared" si="8"/>
        <v>0</v>
      </c>
      <c r="M51" s="1" t="s">
        <v>1224</v>
      </c>
      <c r="N51" s="1" t="s">
        <v>1203</v>
      </c>
      <c r="O51" s="1" t="s">
        <v>1154</v>
      </c>
      <c r="P51" s="1" t="s">
        <v>1241</v>
      </c>
      <c r="Q51" s="1" t="s">
        <v>1242</v>
      </c>
      <c r="R51" s="1" t="s">
        <v>1155</v>
      </c>
      <c r="S51" s="1" t="s">
        <v>1243</v>
      </c>
      <c r="T51" s="1" t="s">
        <v>1178</v>
      </c>
      <c r="U51" s="1" t="s">
        <v>1198</v>
      </c>
      <c r="V51" s="1" t="s">
        <v>1156</v>
      </c>
    </row>
    <row r="52" spans="1:27">
      <c r="A52" s="1" t="s">
        <v>976</v>
      </c>
      <c r="B52" s="1" t="s">
        <v>1060</v>
      </c>
      <c r="C52" s="1">
        <f t="shared" si="6"/>
        <v>8</v>
      </c>
      <c r="D52" s="1">
        <f t="shared" si="7"/>
        <v>10</v>
      </c>
      <c r="E52" s="1" t="str">
        <f t="shared" ref="E52:L61" si="9">_xlfn.XLOOKUP(E$1,$M52:$AB52,$M52:$AB52,0,0)</f>
        <v>甘草</v>
      </c>
      <c r="F52" s="1">
        <f t="shared" si="9"/>
        <v>0</v>
      </c>
      <c r="G52" s="1">
        <f t="shared" si="9"/>
        <v>0</v>
      </c>
      <c r="H52" s="1">
        <f t="shared" si="9"/>
        <v>0</v>
      </c>
      <c r="I52" s="1">
        <f t="shared" si="9"/>
        <v>0</v>
      </c>
      <c r="J52" s="1">
        <f t="shared" si="9"/>
        <v>0</v>
      </c>
      <c r="K52" s="1" t="str">
        <f t="shared" si="9"/>
        <v>当归</v>
      </c>
      <c r="L52" s="1">
        <f t="shared" si="9"/>
        <v>0</v>
      </c>
      <c r="M52" s="1" t="s">
        <v>1227</v>
      </c>
      <c r="N52" s="1" t="s">
        <v>1259</v>
      </c>
      <c r="O52" s="1" t="s">
        <v>1154</v>
      </c>
      <c r="P52" s="1" t="s">
        <v>1220</v>
      </c>
      <c r="Q52" s="1" t="s">
        <v>1161</v>
      </c>
      <c r="R52" s="1" t="s">
        <v>1231</v>
      </c>
      <c r="S52" s="1" t="s">
        <v>1299</v>
      </c>
      <c r="T52" s="1" t="s">
        <v>1211</v>
      </c>
      <c r="U52" s="1" t="s">
        <v>1198</v>
      </c>
      <c r="V52" s="1" t="s">
        <v>1156</v>
      </c>
    </row>
    <row r="53" spans="1:27">
      <c r="A53" s="1" t="s">
        <v>981</v>
      </c>
      <c r="B53" s="1" t="s">
        <v>1096</v>
      </c>
      <c r="C53" s="1">
        <f t="shared" si="6"/>
        <v>8</v>
      </c>
      <c r="D53" s="1">
        <f t="shared" si="7"/>
        <v>10</v>
      </c>
      <c r="E53" s="1" t="str">
        <f t="shared" si="9"/>
        <v>甘草</v>
      </c>
      <c r="F53" s="1">
        <f t="shared" si="9"/>
        <v>0</v>
      </c>
      <c r="G53" s="1">
        <f t="shared" si="9"/>
        <v>0</v>
      </c>
      <c r="H53" s="1">
        <f t="shared" si="9"/>
        <v>0</v>
      </c>
      <c r="I53" s="1">
        <f t="shared" si="9"/>
        <v>0</v>
      </c>
      <c r="J53" s="1">
        <f t="shared" si="9"/>
        <v>0</v>
      </c>
      <c r="K53" s="1" t="str">
        <f t="shared" si="9"/>
        <v>当归</v>
      </c>
      <c r="L53" s="1">
        <f t="shared" si="9"/>
        <v>0</v>
      </c>
      <c r="M53" s="1" t="s">
        <v>1372</v>
      </c>
      <c r="N53" s="1" t="s">
        <v>1154</v>
      </c>
      <c r="O53" s="1" t="s">
        <v>1376</v>
      </c>
      <c r="P53" s="1" t="s">
        <v>1373</v>
      </c>
      <c r="Q53" s="1" t="s">
        <v>1374</v>
      </c>
      <c r="R53" s="1" t="s">
        <v>1241</v>
      </c>
      <c r="S53" s="1" t="s">
        <v>1209</v>
      </c>
      <c r="T53" s="1" t="s">
        <v>1375</v>
      </c>
      <c r="U53" s="1" t="s">
        <v>1198</v>
      </c>
      <c r="V53" s="1" t="s">
        <v>1156</v>
      </c>
    </row>
    <row r="54" spans="1:27">
      <c r="A54" s="1" t="s">
        <v>981</v>
      </c>
      <c r="B54" s="1" t="s">
        <v>1088</v>
      </c>
      <c r="C54" s="1">
        <f t="shared" si="6"/>
        <v>9</v>
      </c>
      <c r="D54" s="1">
        <f t="shared" si="7"/>
        <v>11</v>
      </c>
      <c r="E54" s="1" t="str">
        <f t="shared" si="9"/>
        <v>甘草</v>
      </c>
      <c r="F54" s="1">
        <f t="shared" si="9"/>
        <v>0</v>
      </c>
      <c r="G54" s="1">
        <f t="shared" si="9"/>
        <v>0</v>
      </c>
      <c r="H54" s="1">
        <f t="shared" si="9"/>
        <v>0</v>
      </c>
      <c r="I54" s="1">
        <f t="shared" si="9"/>
        <v>0</v>
      </c>
      <c r="J54" s="1">
        <f t="shared" si="9"/>
        <v>0</v>
      </c>
      <c r="K54" s="1" t="str">
        <f t="shared" si="9"/>
        <v>当归</v>
      </c>
      <c r="L54" s="1">
        <f t="shared" si="9"/>
        <v>0</v>
      </c>
      <c r="M54" s="1" t="s">
        <v>1181</v>
      </c>
      <c r="N54" s="1" t="s">
        <v>1194</v>
      </c>
      <c r="O54" s="1" t="s">
        <v>1154</v>
      </c>
      <c r="P54" s="1" t="s">
        <v>1201</v>
      </c>
      <c r="Q54" s="1" t="s">
        <v>1161</v>
      </c>
      <c r="R54" s="1" t="s">
        <v>1359</v>
      </c>
      <c r="S54" s="1" t="s">
        <v>1152</v>
      </c>
      <c r="T54" s="1" t="s">
        <v>1232</v>
      </c>
      <c r="U54" s="1" t="s">
        <v>1178</v>
      </c>
      <c r="V54" s="1" t="s">
        <v>1198</v>
      </c>
      <c r="W54" s="1" t="s">
        <v>1156</v>
      </c>
    </row>
    <row r="55" spans="1:27">
      <c r="A55" s="1" t="s">
        <v>977</v>
      </c>
      <c r="B55" s="1" t="s">
        <v>1069</v>
      </c>
      <c r="C55" s="1">
        <f t="shared" si="6"/>
        <v>6</v>
      </c>
      <c r="D55" s="1">
        <f t="shared" si="7"/>
        <v>8</v>
      </c>
      <c r="E55" s="1">
        <f t="shared" si="9"/>
        <v>0</v>
      </c>
      <c r="F55" s="1">
        <f t="shared" si="9"/>
        <v>0</v>
      </c>
      <c r="G55" s="1">
        <f t="shared" si="9"/>
        <v>0</v>
      </c>
      <c r="H55" s="1" t="str">
        <f t="shared" si="9"/>
        <v>人参</v>
      </c>
      <c r="I55" s="1">
        <f t="shared" si="9"/>
        <v>0</v>
      </c>
      <c r="J55" s="1">
        <f t="shared" si="9"/>
        <v>0</v>
      </c>
      <c r="K55" s="1" t="str">
        <f t="shared" si="9"/>
        <v>当归</v>
      </c>
      <c r="L55" s="1">
        <f t="shared" si="9"/>
        <v>0</v>
      </c>
      <c r="M55" s="1" t="s">
        <v>1286</v>
      </c>
      <c r="N55" s="1" t="s">
        <v>1318</v>
      </c>
      <c r="O55" s="1" t="s">
        <v>1319</v>
      </c>
      <c r="P55" s="1" t="s">
        <v>1321</v>
      </c>
      <c r="Q55" s="1" t="s">
        <v>1320</v>
      </c>
      <c r="R55" s="1" t="s">
        <v>1309</v>
      </c>
      <c r="S55" s="1" t="s">
        <v>1198</v>
      </c>
      <c r="T55" s="1" t="s">
        <v>1184</v>
      </c>
    </row>
    <row r="56" spans="1:27">
      <c r="A56" s="1" t="s">
        <v>989</v>
      </c>
      <c r="B56" s="1" t="s">
        <v>1141</v>
      </c>
      <c r="C56" s="1">
        <f t="shared" si="6"/>
        <v>8</v>
      </c>
      <c r="D56" s="1">
        <f t="shared" si="7"/>
        <v>10</v>
      </c>
      <c r="E56" s="1">
        <f t="shared" si="9"/>
        <v>0</v>
      </c>
      <c r="F56" s="1">
        <f t="shared" si="9"/>
        <v>0</v>
      </c>
      <c r="G56" s="1">
        <f t="shared" si="9"/>
        <v>0</v>
      </c>
      <c r="H56" s="1" t="str">
        <f t="shared" si="9"/>
        <v>人参</v>
      </c>
      <c r="I56" s="1">
        <f t="shared" si="9"/>
        <v>0</v>
      </c>
      <c r="J56" s="1">
        <f t="shared" si="9"/>
        <v>0</v>
      </c>
      <c r="K56" s="1" t="str">
        <f t="shared" si="9"/>
        <v>当归</v>
      </c>
      <c r="L56" s="1">
        <f t="shared" si="9"/>
        <v>0</v>
      </c>
      <c r="M56" s="1" t="s">
        <v>1151</v>
      </c>
      <c r="N56" s="1" t="s">
        <v>1313</v>
      </c>
      <c r="O56" s="1" t="s">
        <v>1269</v>
      </c>
      <c r="P56" s="1" t="s">
        <v>1213</v>
      </c>
      <c r="Q56" s="1" t="s">
        <v>1223</v>
      </c>
      <c r="R56" s="1" t="s">
        <v>1143</v>
      </c>
      <c r="S56" s="1" t="s">
        <v>1157</v>
      </c>
      <c r="T56" s="1" t="s">
        <v>1197</v>
      </c>
      <c r="U56" s="1" t="s">
        <v>1198</v>
      </c>
      <c r="V56" s="1" t="s">
        <v>1184</v>
      </c>
    </row>
    <row r="57" spans="1:27">
      <c r="A57" s="1" t="s">
        <v>976</v>
      </c>
      <c r="B57" s="1" t="s">
        <v>1054</v>
      </c>
      <c r="C57" s="1">
        <f t="shared" si="6"/>
        <v>1</v>
      </c>
      <c r="D57" s="1">
        <f t="shared" si="7"/>
        <v>2</v>
      </c>
      <c r="E57" s="1">
        <f t="shared" si="9"/>
        <v>0</v>
      </c>
      <c r="F57" s="1">
        <f t="shared" si="9"/>
        <v>0</v>
      </c>
      <c r="G57" s="1">
        <f t="shared" si="9"/>
        <v>0</v>
      </c>
      <c r="H57" s="1">
        <f t="shared" si="9"/>
        <v>0</v>
      </c>
      <c r="I57" s="1">
        <f t="shared" si="9"/>
        <v>0</v>
      </c>
      <c r="J57" s="1">
        <f t="shared" si="9"/>
        <v>0</v>
      </c>
      <c r="K57" s="1" t="str">
        <f t="shared" si="9"/>
        <v>当归</v>
      </c>
      <c r="L57" s="1">
        <f t="shared" si="9"/>
        <v>0</v>
      </c>
      <c r="M57" s="1" t="s">
        <v>1260</v>
      </c>
      <c r="N57" s="1" t="s">
        <v>1198</v>
      </c>
    </row>
    <row r="58" spans="1:27">
      <c r="A58" s="1" t="s">
        <v>976</v>
      </c>
      <c r="B58" s="1" t="s">
        <v>1053</v>
      </c>
      <c r="C58" s="1">
        <f t="shared" si="6"/>
        <v>3</v>
      </c>
      <c r="D58" s="1">
        <f t="shared" si="7"/>
        <v>4</v>
      </c>
      <c r="E58" s="1">
        <f t="shared" si="9"/>
        <v>0</v>
      </c>
      <c r="F58" s="1">
        <f t="shared" si="9"/>
        <v>0</v>
      </c>
      <c r="G58" s="1">
        <f t="shared" si="9"/>
        <v>0</v>
      </c>
      <c r="H58" s="1">
        <f t="shared" si="9"/>
        <v>0</v>
      </c>
      <c r="I58" s="1">
        <f t="shared" si="9"/>
        <v>0</v>
      </c>
      <c r="J58" s="1">
        <f t="shared" si="9"/>
        <v>0</v>
      </c>
      <c r="K58" s="1" t="str">
        <f t="shared" si="9"/>
        <v>当归</v>
      </c>
      <c r="L58" s="1">
        <f t="shared" si="9"/>
        <v>0</v>
      </c>
      <c r="M58" s="1" t="s">
        <v>1259</v>
      </c>
      <c r="N58" s="1" t="s">
        <v>1152</v>
      </c>
      <c r="O58" s="1" t="s">
        <v>1211</v>
      </c>
      <c r="P58" s="1" t="s">
        <v>1198</v>
      </c>
    </row>
    <row r="59" spans="1:27">
      <c r="A59" s="1" t="s">
        <v>970</v>
      </c>
      <c r="B59" s="1" t="s">
        <v>1006</v>
      </c>
      <c r="C59" s="1">
        <f t="shared" si="6"/>
        <v>5</v>
      </c>
      <c r="D59" s="1">
        <f t="shared" si="7"/>
        <v>6</v>
      </c>
      <c r="E59" s="1">
        <f t="shared" si="9"/>
        <v>0</v>
      </c>
      <c r="F59" s="1">
        <f t="shared" si="9"/>
        <v>0</v>
      </c>
      <c r="G59" s="1">
        <f t="shared" si="9"/>
        <v>0</v>
      </c>
      <c r="H59" s="1">
        <f t="shared" si="9"/>
        <v>0</v>
      </c>
      <c r="I59" s="1">
        <f t="shared" si="9"/>
        <v>0</v>
      </c>
      <c r="J59" s="1">
        <f t="shared" si="9"/>
        <v>0</v>
      </c>
      <c r="K59" s="1" t="str">
        <f t="shared" si="9"/>
        <v>当归</v>
      </c>
      <c r="L59" s="1">
        <f t="shared" si="9"/>
        <v>0</v>
      </c>
      <c r="M59" s="1" t="s">
        <v>1181</v>
      </c>
      <c r="N59" s="1" t="s">
        <v>1203</v>
      </c>
      <c r="O59" s="1" t="s">
        <v>1204</v>
      </c>
      <c r="P59" s="1" t="s">
        <v>1202</v>
      </c>
      <c r="Q59" s="1" t="s">
        <v>1201</v>
      </c>
      <c r="R59" s="1" t="s">
        <v>1198</v>
      </c>
    </row>
    <row r="60" spans="1:27">
      <c r="A60" s="1" t="s">
        <v>976</v>
      </c>
      <c r="B60" s="1" t="s">
        <v>1061</v>
      </c>
      <c r="C60" s="1">
        <f t="shared" si="6"/>
        <v>5</v>
      </c>
      <c r="D60" s="1">
        <f t="shared" si="7"/>
        <v>6</v>
      </c>
      <c r="E60" s="1">
        <f t="shared" si="9"/>
        <v>0</v>
      </c>
      <c r="F60" s="1">
        <f t="shared" si="9"/>
        <v>0</v>
      </c>
      <c r="G60" s="1">
        <f t="shared" si="9"/>
        <v>0</v>
      </c>
      <c r="H60" s="1">
        <f t="shared" si="9"/>
        <v>0</v>
      </c>
      <c r="I60" s="1">
        <f t="shared" si="9"/>
        <v>0</v>
      </c>
      <c r="J60" s="1">
        <f t="shared" si="9"/>
        <v>0</v>
      </c>
      <c r="K60" s="1" t="str">
        <f t="shared" si="9"/>
        <v>当归</v>
      </c>
      <c r="L60" s="1">
        <f t="shared" si="9"/>
        <v>0</v>
      </c>
      <c r="M60" s="1" t="s">
        <v>1257</v>
      </c>
      <c r="N60" s="1" t="s">
        <v>1302</v>
      </c>
      <c r="O60" s="1" t="s">
        <v>1220</v>
      </c>
      <c r="P60" s="1" t="s">
        <v>1301</v>
      </c>
      <c r="Q60" s="1" t="s">
        <v>1300</v>
      </c>
      <c r="R60" s="1" t="s">
        <v>1198</v>
      </c>
    </row>
    <row r="61" spans="1:27">
      <c r="A61" s="1" t="s">
        <v>972</v>
      </c>
      <c r="B61" s="1" t="s">
        <v>1033</v>
      </c>
      <c r="C61" s="1">
        <f t="shared" si="6"/>
        <v>6</v>
      </c>
      <c r="D61" s="1">
        <f t="shared" si="7"/>
        <v>7</v>
      </c>
      <c r="E61" s="1">
        <f t="shared" si="9"/>
        <v>0</v>
      </c>
      <c r="F61" s="1">
        <f t="shared" si="9"/>
        <v>0</v>
      </c>
      <c r="G61" s="1">
        <f t="shared" si="9"/>
        <v>0</v>
      </c>
      <c r="H61" s="1">
        <f t="shared" si="9"/>
        <v>0</v>
      </c>
      <c r="I61" s="1">
        <f t="shared" si="9"/>
        <v>0</v>
      </c>
      <c r="J61" s="1">
        <f t="shared" si="9"/>
        <v>0</v>
      </c>
      <c r="K61" s="1" t="str">
        <f t="shared" si="9"/>
        <v>当归</v>
      </c>
      <c r="L61" s="1">
        <f t="shared" si="9"/>
        <v>0</v>
      </c>
      <c r="M61" s="1" t="s">
        <v>1259</v>
      </c>
      <c r="N61" s="1" t="s">
        <v>1154</v>
      </c>
      <c r="O61" s="1" t="s">
        <v>1155</v>
      </c>
      <c r="P61" s="1" t="s">
        <v>1260</v>
      </c>
      <c r="Q61" s="1" t="s">
        <v>1213</v>
      </c>
      <c r="R61" s="1" t="s">
        <v>1223</v>
      </c>
      <c r="S61" s="1" t="s">
        <v>1198</v>
      </c>
    </row>
    <row r="62" spans="1:27">
      <c r="A62" s="1" t="s">
        <v>976</v>
      </c>
      <c r="B62" s="1" t="s">
        <v>1063</v>
      </c>
      <c r="C62" s="1">
        <f t="shared" si="6"/>
        <v>9</v>
      </c>
      <c r="D62" s="1">
        <f t="shared" si="7"/>
        <v>10</v>
      </c>
      <c r="E62" s="1">
        <f t="shared" ref="E62:L71" si="10">_xlfn.XLOOKUP(E$1,$M62:$AB62,$M62:$AB62,0,0)</f>
        <v>0</v>
      </c>
      <c r="F62" s="1">
        <f t="shared" si="10"/>
        <v>0</v>
      </c>
      <c r="G62" s="1">
        <f t="shared" si="10"/>
        <v>0</v>
      </c>
      <c r="H62" s="1">
        <f t="shared" si="10"/>
        <v>0</v>
      </c>
      <c r="I62" s="1">
        <f t="shared" si="10"/>
        <v>0</v>
      </c>
      <c r="J62" s="1">
        <f t="shared" si="10"/>
        <v>0</v>
      </c>
      <c r="K62" s="1" t="str">
        <f t="shared" si="10"/>
        <v>当归</v>
      </c>
      <c r="L62" s="1">
        <f t="shared" si="10"/>
        <v>0</v>
      </c>
      <c r="M62" s="1" t="s">
        <v>1306</v>
      </c>
      <c r="N62" s="1" t="s">
        <v>1296</v>
      </c>
      <c r="O62" s="1" t="s">
        <v>1259</v>
      </c>
      <c r="P62" s="1" t="s">
        <v>1290</v>
      </c>
      <c r="Q62" s="1" t="s">
        <v>1282</v>
      </c>
      <c r="R62" s="1" t="s">
        <v>1273</v>
      </c>
      <c r="S62" s="1" t="s">
        <v>1274</v>
      </c>
      <c r="T62" s="1" t="s">
        <v>1301</v>
      </c>
      <c r="U62" s="1" t="s">
        <v>1305</v>
      </c>
      <c r="V62" s="1" t="s">
        <v>1198</v>
      </c>
    </row>
    <row r="63" spans="1:27">
      <c r="A63" s="1" t="s">
        <v>983</v>
      </c>
      <c r="B63" s="1" t="s">
        <v>1103</v>
      </c>
      <c r="C63" s="1">
        <f t="shared" si="6"/>
        <v>12</v>
      </c>
      <c r="D63" s="1">
        <f t="shared" si="7"/>
        <v>13</v>
      </c>
      <c r="E63" s="1">
        <f t="shared" si="10"/>
        <v>0</v>
      </c>
      <c r="F63" s="1">
        <f t="shared" si="10"/>
        <v>0</v>
      </c>
      <c r="G63" s="1">
        <f t="shared" si="10"/>
        <v>0</v>
      </c>
      <c r="H63" s="1">
        <f t="shared" si="10"/>
        <v>0</v>
      </c>
      <c r="I63" s="1">
        <f t="shared" si="10"/>
        <v>0</v>
      </c>
      <c r="J63" s="1">
        <f t="shared" si="10"/>
        <v>0</v>
      </c>
      <c r="K63" s="1" t="str">
        <f t="shared" si="10"/>
        <v>当归</v>
      </c>
      <c r="L63" s="1">
        <f t="shared" si="10"/>
        <v>0</v>
      </c>
      <c r="M63" s="1" t="s">
        <v>1214</v>
      </c>
      <c r="N63" s="1" t="s">
        <v>1160</v>
      </c>
      <c r="O63" s="1" t="s">
        <v>1257</v>
      </c>
      <c r="P63" s="1" t="s">
        <v>1173</v>
      </c>
      <c r="Q63" s="1" t="s">
        <v>1241</v>
      </c>
      <c r="R63" s="1" t="s">
        <v>1394</v>
      </c>
      <c r="S63" s="1" t="s">
        <v>1162</v>
      </c>
      <c r="T63" s="1" t="s">
        <v>1395</v>
      </c>
      <c r="U63" s="1" t="s">
        <v>1149</v>
      </c>
      <c r="V63" s="1" t="s">
        <v>1393</v>
      </c>
      <c r="W63" s="1" t="s">
        <v>1150</v>
      </c>
      <c r="X63" s="1" t="s">
        <v>1198</v>
      </c>
      <c r="Y63" s="1" t="s">
        <v>1214</v>
      </c>
    </row>
    <row r="64" spans="1:27">
      <c r="A64" s="1" t="s">
        <v>985</v>
      </c>
      <c r="B64" s="1" t="s">
        <v>1129</v>
      </c>
      <c r="C64" s="1">
        <f t="shared" si="6"/>
        <v>14</v>
      </c>
      <c r="D64" s="1">
        <f t="shared" si="7"/>
        <v>15</v>
      </c>
      <c r="E64" s="1">
        <f t="shared" si="10"/>
        <v>0</v>
      </c>
      <c r="F64" s="1">
        <f t="shared" si="10"/>
        <v>0</v>
      </c>
      <c r="G64" s="1">
        <f t="shared" si="10"/>
        <v>0</v>
      </c>
      <c r="H64" s="1">
        <f t="shared" si="10"/>
        <v>0</v>
      </c>
      <c r="I64" s="1">
        <f t="shared" si="10"/>
        <v>0</v>
      </c>
      <c r="J64" s="1">
        <f t="shared" si="10"/>
        <v>0</v>
      </c>
      <c r="K64" s="1" t="str">
        <f t="shared" si="10"/>
        <v>当归</v>
      </c>
      <c r="L64" s="1">
        <f t="shared" si="10"/>
        <v>0</v>
      </c>
      <c r="M64" s="1" t="s">
        <v>1151</v>
      </c>
      <c r="N64" s="1" t="s">
        <v>1145</v>
      </c>
      <c r="O64" s="1" t="s">
        <v>1416</v>
      </c>
      <c r="P64" s="1" t="s">
        <v>1458</v>
      </c>
      <c r="Q64" s="1" t="s">
        <v>1382</v>
      </c>
      <c r="R64" s="1" t="s">
        <v>1201</v>
      </c>
      <c r="S64" s="1" t="s">
        <v>1303</v>
      </c>
      <c r="T64" s="1" t="s">
        <v>1149</v>
      </c>
      <c r="U64" s="1" t="s">
        <v>1305</v>
      </c>
      <c r="V64" s="1" t="s">
        <v>1182</v>
      </c>
      <c r="W64" s="1" t="s">
        <v>1152</v>
      </c>
      <c r="X64" s="1" t="s">
        <v>1198</v>
      </c>
      <c r="Y64" s="1" t="s">
        <v>1416</v>
      </c>
      <c r="Z64" s="1" t="s">
        <v>1145</v>
      </c>
      <c r="AA64" s="1" t="s">
        <v>1151</v>
      </c>
    </row>
    <row r="65" spans="1:22">
      <c r="A65" s="1" t="s">
        <v>971</v>
      </c>
      <c r="B65" s="1" t="s">
        <v>1009</v>
      </c>
      <c r="C65" s="1">
        <f t="shared" si="6"/>
        <v>2</v>
      </c>
      <c r="D65" s="1">
        <f t="shared" si="7"/>
        <v>7</v>
      </c>
      <c r="E65" s="1" t="str">
        <f t="shared" si="10"/>
        <v>甘草</v>
      </c>
      <c r="F65" s="1" t="str">
        <f t="shared" si="10"/>
        <v>生姜</v>
      </c>
      <c r="G65" s="1" t="str">
        <f t="shared" si="10"/>
        <v>大枣</v>
      </c>
      <c r="H65" s="1" t="str">
        <f t="shared" si="10"/>
        <v>人参</v>
      </c>
      <c r="I65" s="1" t="str">
        <f t="shared" si="10"/>
        <v>半夏</v>
      </c>
      <c r="J65" s="1">
        <f t="shared" si="10"/>
        <v>0</v>
      </c>
      <c r="K65" s="1">
        <f t="shared" si="10"/>
        <v>0</v>
      </c>
      <c r="L65" s="1">
        <f t="shared" si="10"/>
        <v>0</v>
      </c>
      <c r="M65" s="1" t="s">
        <v>1155</v>
      </c>
      <c r="N65" s="1" t="s">
        <v>1178</v>
      </c>
      <c r="O65" s="1" t="s">
        <v>1158</v>
      </c>
      <c r="P65" s="1" t="s">
        <v>1184</v>
      </c>
      <c r="Q65" s="1" t="s">
        <v>1147</v>
      </c>
      <c r="R65" s="1" t="s">
        <v>1146</v>
      </c>
      <c r="S65" s="1" t="s">
        <v>1156</v>
      </c>
    </row>
    <row r="66" spans="1:22">
      <c r="A66" s="1" t="s">
        <v>976</v>
      </c>
      <c r="B66" s="1" t="s">
        <v>1477</v>
      </c>
      <c r="C66" s="1">
        <f t="shared" ref="C66:C97" si="11">D66-COUNTIF(E66:L66,"&lt;&gt;0")</f>
        <v>6</v>
      </c>
      <c r="D66" s="1">
        <f t="shared" ref="D66:D97" si="12">COUNTA(M66:AB66)</f>
        <v>10</v>
      </c>
      <c r="E66" s="1" t="str">
        <f t="shared" si="10"/>
        <v>甘草</v>
      </c>
      <c r="F66" s="1" t="str">
        <f t="shared" si="10"/>
        <v>生姜</v>
      </c>
      <c r="G66" s="1" t="str">
        <f t="shared" si="10"/>
        <v>大枣</v>
      </c>
      <c r="H66" s="1" t="str">
        <f t="shared" si="10"/>
        <v>人参</v>
      </c>
      <c r="I66" s="1">
        <f t="shared" si="10"/>
        <v>0</v>
      </c>
      <c r="J66" s="1">
        <f t="shared" si="10"/>
        <v>0</v>
      </c>
      <c r="K66" s="1">
        <f t="shared" si="10"/>
        <v>0</v>
      </c>
      <c r="L66" s="1">
        <f t="shared" si="10"/>
        <v>0</v>
      </c>
      <c r="M66" s="1" t="s">
        <v>1154</v>
      </c>
      <c r="N66" s="1" t="s">
        <v>1289</v>
      </c>
      <c r="O66" s="1" t="s">
        <v>1220</v>
      </c>
      <c r="P66" s="1" t="s">
        <v>1288</v>
      </c>
      <c r="Q66" s="1" t="s">
        <v>1143</v>
      </c>
      <c r="R66" s="1" t="s">
        <v>1287</v>
      </c>
      <c r="S66" s="1" t="s">
        <v>1184</v>
      </c>
      <c r="T66" s="1" t="s">
        <v>1147</v>
      </c>
      <c r="U66" s="1" t="s">
        <v>1146</v>
      </c>
      <c r="V66" s="1" t="s">
        <v>1156</v>
      </c>
    </row>
    <row r="67" spans="1:22">
      <c r="A67" s="1" t="s">
        <v>980</v>
      </c>
      <c r="B67" s="1" t="s">
        <v>1086</v>
      </c>
      <c r="C67" s="1">
        <f t="shared" si="11"/>
        <v>2</v>
      </c>
      <c r="D67" s="1">
        <f t="shared" si="12"/>
        <v>5</v>
      </c>
      <c r="E67" s="1" t="str">
        <f t="shared" si="10"/>
        <v>甘草</v>
      </c>
      <c r="F67" s="1" t="str">
        <f t="shared" si="10"/>
        <v>生姜</v>
      </c>
      <c r="G67" s="1">
        <f t="shared" si="10"/>
        <v>0</v>
      </c>
      <c r="H67" s="1" t="str">
        <f t="shared" si="10"/>
        <v>人参</v>
      </c>
      <c r="I67" s="1">
        <f t="shared" si="10"/>
        <v>0</v>
      </c>
      <c r="J67" s="1">
        <f t="shared" si="10"/>
        <v>0</v>
      </c>
      <c r="K67" s="1">
        <f t="shared" si="10"/>
        <v>0</v>
      </c>
      <c r="L67" s="1">
        <f t="shared" si="10"/>
        <v>0</v>
      </c>
      <c r="M67" s="1" t="s">
        <v>1357</v>
      </c>
      <c r="N67" s="1" t="s">
        <v>1358</v>
      </c>
      <c r="O67" s="1" t="s">
        <v>1184</v>
      </c>
      <c r="P67" s="1" t="s">
        <v>1146</v>
      </c>
      <c r="Q67" s="1" t="s">
        <v>1156</v>
      </c>
    </row>
    <row r="68" spans="1:22">
      <c r="A68" s="1" t="s">
        <v>969</v>
      </c>
      <c r="B68" s="1" t="s">
        <v>991</v>
      </c>
      <c r="C68" s="1">
        <f t="shared" si="11"/>
        <v>2</v>
      </c>
      <c r="D68" s="1">
        <f t="shared" si="12"/>
        <v>5</v>
      </c>
      <c r="E68" s="1" t="str">
        <f t="shared" si="10"/>
        <v>甘草</v>
      </c>
      <c r="F68" s="1" t="str">
        <f t="shared" si="10"/>
        <v>生姜</v>
      </c>
      <c r="G68" s="1" t="str">
        <f t="shared" si="10"/>
        <v>大枣</v>
      </c>
      <c r="H68" s="1">
        <f t="shared" si="10"/>
        <v>0</v>
      </c>
      <c r="I68" s="1">
        <f t="shared" si="10"/>
        <v>0</v>
      </c>
      <c r="J68" s="1">
        <f t="shared" si="10"/>
        <v>0</v>
      </c>
      <c r="K68" s="1">
        <f t="shared" si="10"/>
        <v>0</v>
      </c>
      <c r="L68" s="1">
        <f t="shared" si="10"/>
        <v>0</v>
      </c>
      <c r="M68" s="1" t="s">
        <v>1145</v>
      </c>
      <c r="N68" s="1" t="s">
        <v>1143</v>
      </c>
      <c r="O68" s="1" t="s">
        <v>1147</v>
      </c>
      <c r="P68" s="1" t="s">
        <v>1146</v>
      </c>
      <c r="Q68" s="1" t="s">
        <v>1156</v>
      </c>
    </row>
    <row r="69" spans="1:22">
      <c r="A69" s="1" t="s">
        <v>974</v>
      </c>
      <c r="B69" s="1" t="s">
        <v>1038</v>
      </c>
      <c r="C69" s="1">
        <f t="shared" si="11"/>
        <v>3</v>
      </c>
      <c r="D69" s="1">
        <f t="shared" si="12"/>
        <v>6</v>
      </c>
      <c r="E69" s="1" t="str">
        <f t="shared" si="10"/>
        <v>甘草</v>
      </c>
      <c r="F69" s="1" t="str">
        <f t="shared" si="10"/>
        <v>生姜</v>
      </c>
      <c r="G69" s="1" t="str">
        <f t="shared" si="10"/>
        <v>大枣</v>
      </c>
      <c r="H69" s="1">
        <f t="shared" si="10"/>
        <v>0</v>
      </c>
      <c r="I69" s="1">
        <f t="shared" si="10"/>
        <v>0</v>
      </c>
      <c r="J69" s="1">
        <f t="shared" si="10"/>
        <v>0</v>
      </c>
      <c r="K69" s="1">
        <f t="shared" si="10"/>
        <v>0</v>
      </c>
      <c r="L69" s="1">
        <f t="shared" si="10"/>
        <v>0</v>
      </c>
      <c r="M69" s="1" t="s">
        <v>1268</v>
      </c>
      <c r="N69" s="1" t="s">
        <v>1145</v>
      </c>
      <c r="O69" s="1" t="s">
        <v>1143</v>
      </c>
      <c r="P69" s="1" t="s">
        <v>1147</v>
      </c>
      <c r="Q69" s="1" t="s">
        <v>1146</v>
      </c>
      <c r="R69" s="1" t="s">
        <v>1156</v>
      </c>
    </row>
    <row r="70" spans="1:22">
      <c r="A70" s="1" t="s">
        <v>969</v>
      </c>
      <c r="B70" s="1" t="s">
        <v>994</v>
      </c>
      <c r="C70" s="1">
        <f t="shared" si="11"/>
        <v>4</v>
      </c>
      <c r="D70" s="1">
        <f t="shared" si="12"/>
        <v>7</v>
      </c>
      <c r="E70" s="1" t="str">
        <f t="shared" si="10"/>
        <v>甘草</v>
      </c>
      <c r="F70" s="1" t="str">
        <f t="shared" si="10"/>
        <v>生姜</v>
      </c>
      <c r="G70" s="1" t="str">
        <f t="shared" si="10"/>
        <v>大枣</v>
      </c>
      <c r="H70" s="1">
        <f t="shared" si="10"/>
        <v>0</v>
      </c>
      <c r="I70" s="1">
        <f t="shared" si="10"/>
        <v>0</v>
      </c>
      <c r="J70" s="1">
        <f t="shared" si="10"/>
        <v>0</v>
      </c>
      <c r="K70" s="1">
        <f t="shared" si="10"/>
        <v>0</v>
      </c>
      <c r="L70" s="1">
        <f t="shared" si="10"/>
        <v>0</v>
      </c>
      <c r="M70" s="1" t="s">
        <v>1144</v>
      </c>
      <c r="N70" s="1" t="s">
        <v>1160</v>
      </c>
      <c r="O70" s="1" t="s">
        <v>1142</v>
      </c>
      <c r="P70" s="1" t="s">
        <v>1143</v>
      </c>
      <c r="Q70" s="1" t="s">
        <v>1147</v>
      </c>
      <c r="R70" s="1" t="s">
        <v>1146</v>
      </c>
      <c r="S70" s="1" t="s">
        <v>1156</v>
      </c>
    </row>
    <row r="71" spans="1:22">
      <c r="A71" s="1" t="s">
        <v>984</v>
      </c>
      <c r="B71" s="1" t="s">
        <v>1112</v>
      </c>
      <c r="C71" s="1">
        <f t="shared" si="11"/>
        <v>2</v>
      </c>
      <c r="D71" s="1">
        <f t="shared" si="12"/>
        <v>6</v>
      </c>
      <c r="E71" s="1" t="str">
        <f t="shared" si="10"/>
        <v>甘草</v>
      </c>
      <c r="F71" s="1">
        <f t="shared" si="10"/>
        <v>0</v>
      </c>
      <c r="G71" s="1" t="str">
        <f t="shared" si="10"/>
        <v>大枣</v>
      </c>
      <c r="H71" s="1" t="str">
        <f t="shared" si="10"/>
        <v>人参</v>
      </c>
      <c r="I71" s="1" t="str">
        <f t="shared" si="10"/>
        <v>半夏</v>
      </c>
      <c r="J71" s="1">
        <f t="shared" si="10"/>
        <v>0</v>
      </c>
      <c r="K71" s="1">
        <f t="shared" si="10"/>
        <v>0</v>
      </c>
      <c r="L71" s="1">
        <f t="shared" si="10"/>
        <v>0</v>
      </c>
      <c r="M71" s="1" t="s">
        <v>1216</v>
      </c>
      <c r="N71" s="1" t="s">
        <v>1215</v>
      </c>
      <c r="O71" s="1" t="s">
        <v>1158</v>
      </c>
      <c r="P71" s="1" t="s">
        <v>1184</v>
      </c>
      <c r="Q71" s="1" t="s">
        <v>1147</v>
      </c>
      <c r="R71" s="1" t="s">
        <v>1156</v>
      </c>
    </row>
    <row r="72" spans="1:22">
      <c r="A72" s="1" t="s">
        <v>971</v>
      </c>
      <c r="B72" s="1" t="s">
        <v>1014</v>
      </c>
      <c r="C72" s="1">
        <f t="shared" si="11"/>
        <v>3</v>
      </c>
      <c r="D72" s="1">
        <f t="shared" si="12"/>
        <v>7</v>
      </c>
      <c r="E72" s="1" t="str">
        <f t="shared" ref="E72:L81" si="13">_xlfn.XLOOKUP(E$1,$M72:$AB72,$M72:$AB72,0,0)</f>
        <v>甘草</v>
      </c>
      <c r="F72" s="1">
        <f t="shared" si="13"/>
        <v>0</v>
      </c>
      <c r="G72" s="1" t="str">
        <f t="shared" si="13"/>
        <v>大枣</v>
      </c>
      <c r="H72" s="1" t="str">
        <f t="shared" si="13"/>
        <v>人参</v>
      </c>
      <c r="I72" s="1" t="str">
        <f t="shared" si="13"/>
        <v>半夏</v>
      </c>
      <c r="J72" s="1">
        <f t="shared" si="13"/>
        <v>0</v>
      </c>
      <c r="K72" s="1">
        <f t="shared" si="13"/>
        <v>0</v>
      </c>
      <c r="L72" s="1">
        <f t="shared" si="13"/>
        <v>0</v>
      </c>
      <c r="M72" s="1" t="s">
        <v>1155</v>
      </c>
      <c r="N72" s="1" t="s">
        <v>1213</v>
      </c>
      <c r="O72" s="1" t="s">
        <v>1157</v>
      </c>
      <c r="P72" s="1" t="s">
        <v>1158</v>
      </c>
      <c r="Q72" s="1" t="s">
        <v>1184</v>
      </c>
      <c r="R72" s="1" t="s">
        <v>1147</v>
      </c>
      <c r="S72" s="1" t="s">
        <v>1156</v>
      </c>
    </row>
    <row r="73" spans="1:22">
      <c r="A73" s="1" t="s">
        <v>972</v>
      </c>
      <c r="B73" s="1" t="s">
        <v>1016</v>
      </c>
      <c r="C73" s="1">
        <f t="shared" si="11"/>
        <v>4</v>
      </c>
      <c r="D73" s="1">
        <f t="shared" si="12"/>
        <v>7</v>
      </c>
      <c r="E73" s="1" t="str">
        <f t="shared" si="13"/>
        <v>甘草</v>
      </c>
      <c r="F73" s="1">
        <f t="shared" si="13"/>
        <v>0</v>
      </c>
      <c r="G73" s="1">
        <f t="shared" si="13"/>
        <v>0</v>
      </c>
      <c r="H73" s="1" t="str">
        <f t="shared" si="13"/>
        <v>人参</v>
      </c>
      <c r="I73" s="1" t="str">
        <f t="shared" si="13"/>
        <v>半夏</v>
      </c>
      <c r="J73" s="1">
        <f t="shared" si="13"/>
        <v>0</v>
      </c>
      <c r="K73" s="1">
        <f t="shared" si="13"/>
        <v>0</v>
      </c>
      <c r="L73" s="1">
        <f t="shared" si="13"/>
        <v>0</v>
      </c>
      <c r="M73" s="1" t="s">
        <v>1170</v>
      </c>
      <c r="N73" s="1" t="s">
        <v>1160</v>
      </c>
      <c r="O73" s="1" t="s">
        <v>1216</v>
      </c>
      <c r="P73" s="1" t="s">
        <v>1215</v>
      </c>
      <c r="Q73" s="1" t="s">
        <v>1158</v>
      </c>
      <c r="R73" s="1" t="s">
        <v>1184</v>
      </c>
      <c r="S73" s="1" t="s">
        <v>1156</v>
      </c>
    </row>
    <row r="74" spans="1:22">
      <c r="A74" s="1" t="s">
        <v>984</v>
      </c>
      <c r="B74" s="1" t="s">
        <v>1110</v>
      </c>
      <c r="C74" s="1">
        <f t="shared" si="11"/>
        <v>7</v>
      </c>
      <c r="D74" s="1">
        <f t="shared" si="12"/>
        <v>9</v>
      </c>
      <c r="E74" s="1" t="str">
        <f t="shared" si="13"/>
        <v>甘草</v>
      </c>
      <c r="F74" s="1">
        <f t="shared" si="13"/>
        <v>0</v>
      </c>
      <c r="G74" s="1">
        <f t="shared" si="13"/>
        <v>0</v>
      </c>
      <c r="H74" s="1" t="str">
        <f t="shared" si="13"/>
        <v>人参</v>
      </c>
      <c r="I74" s="1">
        <f t="shared" si="13"/>
        <v>0</v>
      </c>
      <c r="J74" s="1">
        <f t="shared" si="13"/>
        <v>0</v>
      </c>
      <c r="K74" s="1">
        <f t="shared" si="13"/>
        <v>0</v>
      </c>
      <c r="L74" s="1">
        <f t="shared" si="13"/>
        <v>0</v>
      </c>
      <c r="M74" s="1" t="s">
        <v>1144</v>
      </c>
      <c r="N74" s="1" t="s">
        <v>1160</v>
      </c>
      <c r="O74" s="1" t="s">
        <v>1175</v>
      </c>
      <c r="P74" s="1" t="s">
        <v>1425</v>
      </c>
      <c r="Q74" s="1" t="s">
        <v>1216</v>
      </c>
      <c r="R74" s="1" t="s">
        <v>1424</v>
      </c>
      <c r="S74" s="1" t="s">
        <v>1287</v>
      </c>
      <c r="T74" s="1" t="s">
        <v>1184</v>
      </c>
      <c r="U74" s="1" t="s">
        <v>1156</v>
      </c>
    </row>
    <row r="75" spans="1:22">
      <c r="A75" s="1" t="s">
        <v>985</v>
      </c>
      <c r="B75" s="1" t="s">
        <v>1471</v>
      </c>
      <c r="C75" s="1">
        <f t="shared" si="11"/>
        <v>8</v>
      </c>
      <c r="D75" s="1">
        <f t="shared" si="12"/>
        <v>10</v>
      </c>
      <c r="E75" s="1" t="str">
        <f t="shared" si="13"/>
        <v>甘草</v>
      </c>
      <c r="F75" s="1">
        <f t="shared" si="13"/>
        <v>0</v>
      </c>
      <c r="G75" s="1">
        <f t="shared" si="13"/>
        <v>0</v>
      </c>
      <c r="H75" s="1" t="str">
        <f t="shared" si="13"/>
        <v>人参</v>
      </c>
      <c r="I75" s="1">
        <f t="shared" si="13"/>
        <v>0</v>
      </c>
      <c r="J75" s="1">
        <f t="shared" si="13"/>
        <v>0</v>
      </c>
      <c r="K75" s="1">
        <f t="shared" si="13"/>
        <v>0</v>
      </c>
      <c r="L75" s="1">
        <f t="shared" si="13"/>
        <v>0</v>
      </c>
      <c r="M75" s="1" t="s">
        <v>1282</v>
      </c>
      <c r="N75" s="1" t="s">
        <v>1474</v>
      </c>
      <c r="O75" s="1" t="s">
        <v>1166</v>
      </c>
      <c r="P75" s="1" t="s">
        <v>1243</v>
      </c>
      <c r="Q75" s="1" t="s">
        <v>1467</v>
      </c>
      <c r="R75" s="1" t="s">
        <v>1178</v>
      </c>
      <c r="S75" s="1" t="s">
        <v>1150</v>
      </c>
      <c r="T75" s="1" t="s">
        <v>1211</v>
      </c>
      <c r="U75" s="1" t="s">
        <v>1184</v>
      </c>
      <c r="V75" s="1" t="s">
        <v>1156</v>
      </c>
    </row>
    <row r="76" spans="1:22">
      <c r="A76" s="1" t="s">
        <v>969</v>
      </c>
      <c r="B76" s="1" t="s">
        <v>993</v>
      </c>
      <c r="C76" s="1">
        <f t="shared" si="11"/>
        <v>6</v>
      </c>
      <c r="D76" s="1">
        <f t="shared" si="12"/>
        <v>8</v>
      </c>
      <c r="E76" s="1" t="str">
        <f t="shared" si="13"/>
        <v>甘草</v>
      </c>
      <c r="F76" s="1">
        <f t="shared" si="13"/>
        <v>0</v>
      </c>
      <c r="G76" s="1">
        <f t="shared" si="13"/>
        <v>0</v>
      </c>
      <c r="H76" s="1">
        <f t="shared" si="13"/>
        <v>0</v>
      </c>
      <c r="I76" s="1" t="str">
        <f t="shared" si="13"/>
        <v>半夏</v>
      </c>
      <c r="J76" s="1">
        <f t="shared" si="13"/>
        <v>0</v>
      </c>
      <c r="K76" s="1">
        <f t="shared" si="13"/>
        <v>0</v>
      </c>
      <c r="L76" s="1">
        <f t="shared" si="13"/>
        <v>0</v>
      </c>
      <c r="M76" s="1" t="s">
        <v>1151</v>
      </c>
      <c r="N76" s="1" t="s">
        <v>1159</v>
      </c>
      <c r="O76" s="1" t="s">
        <v>1145</v>
      </c>
      <c r="P76" s="1" t="s">
        <v>1142</v>
      </c>
      <c r="Q76" s="1" t="s">
        <v>1143</v>
      </c>
      <c r="R76" s="1" t="s">
        <v>1157</v>
      </c>
      <c r="S76" s="1" t="s">
        <v>1158</v>
      </c>
      <c r="T76" s="1" t="s">
        <v>1156</v>
      </c>
    </row>
    <row r="77" spans="1:22">
      <c r="A77" s="1" t="s">
        <v>980</v>
      </c>
      <c r="B77" s="1" t="s">
        <v>1085</v>
      </c>
      <c r="C77" s="1">
        <f t="shared" si="11"/>
        <v>7</v>
      </c>
      <c r="D77" s="1">
        <f t="shared" si="12"/>
        <v>9</v>
      </c>
      <c r="E77" s="1" t="str">
        <f t="shared" si="13"/>
        <v>甘草</v>
      </c>
      <c r="F77" s="1">
        <f t="shared" si="13"/>
        <v>0</v>
      </c>
      <c r="G77" s="1">
        <f t="shared" si="13"/>
        <v>0</v>
      </c>
      <c r="H77" s="1">
        <f t="shared" si="13"/>
        <v>0</v>
      </c>
      <c r="I77" s="1" t="str">
        <f t="shared" si="13"/>
        <v>半夏</v>
      </c>
      <c r="J77" s="1">
        <f t="shared" si="13"/>
        <v>0</v>
      </c>
      <c r="K77" s="1">
        <f t="shared" si="13"/>
        <v>0</v>
      </c>
      <c r="L77" s="1">
        <f t="shared" si="13"/>
        <v>0</v>
      </c>
      <c r="M77" s="1" t="s">
        <v>1144</v>
      </c>
      <c r="N77" s="1" t="s">
        <v>1356</v>
      </c>
      <c r="O77" s="1" t="s">
        <v>1249</v>
      </c>
      <c r="P77" s="1" t="s">
        <v>1142</v>
      </c>
      <c r="Q77" s="1" t="s">
        <v>1312</v>
      </c>
      <c r="R77" s="1" t="s">
        <v>1155</v>
      </c>
      <c r="S77" s="1" t="s">
        <v>1335</v>
      </c>
      <c r="T77" s="1" t="s">
        <v>1158</v>
      </c>
      <c r="U77" s="1" t="s">
        <v>1156</v>
      </c>
    </row>
    <row r="78" spans="1:22">
      <c r="A78" s="1" t="s">
        <v>973</v>
      </c>
      <c r="B78" s="1" t="s">
        <v>1035</v>
      </c>
      <c r="C78" s="1">
        <f t="shared" si="11"/>
        <v>1</v>
      </c>
      <c r="D78" s="1">
        <f t="shared" si="12"/>
        <v>2</v>
      </c>
      <c r="E78" s="1" t="str">
        <f t="shared" si="13"/>
        <v>甘草</v>
      </c>
      <c r="F78" s="1">
        <f t="shared" si="13"/>
        <v>0</v>
      </c>
      <c r="G78" s="1">
        <f t="shared" si="13"/>
        <v>0</v>
      </c>
      <c r="H78" s="1">
        <f t="shared" si="13"/>
        <v>0</v>
      </c>
      <c r="I78" s="1">
        <f t="shared" si="13"/>
        <v>0</v>
      </c>
      <c r="J78" s="1">
        <f t="shared" si="13"/>
        <v>0</v>
      </c>
      <c r="K78" s="1">
        <f t="shared" si="13"/>
        <v>0</v>
      </c>
      <c r="L78" s="1">
        <f t="shared" si="13"/>
        <v>0</v>
      </c>
      <c r="M78" s="1" t="s">
        <v>113</v>
      </c>
      <c r="N78" s="1" t="s">
        <v>1156</v>
      </c>
    </row>
    <row r="79" spans="1:22">
      <c r="A79" s="1" t="s">
        <v>974</v>
      </c>
      <c r="B79" s="1" t="s">
        <v>1041</v>
      </c>
      <c r="C79" s="1">
        <f t="shared" si="11"/>
        <v>2</v>
      </c>
      <c r="D79" s="1">
        <f t="shared" si="12"/>
        <v>3</v>
      </c>
      <c r="E79" s="1" t="str">
        <f t="shared" si="13"/>
        <v>甘草</v>
      </c>
      <c r="F79" s="1">
        <f t="shared" si="13"/>
        <v>0</v>
      </c>
      <c r="G79" s="1">
        <f t="shared" si="13"/>
        <v>0</v>
      </c>
      <c r="H79" s="1">
        <f t="shared" si="13"/>
        <v>0</v>
      </c>
      <c r="I79" s="1">
        <f t="shared" si="13"/>
        <v>0</v>
      </c>
      <c r="J79" s="1">
        <f t="shared" si="13"/>
        <v>0</v>
      </c>
      <c r="K79" s="1">
        <f t="shared" si="13"/>
        <v>0</v>
      </c>
      <c r="L79" s="1">
        <f t="shared" si="13"/>
        <v>0</v>
      </c>
      <c r="M79" s="1" t="s">
        <v>1271</v>
      </c>
      <c r="N79" s="1" t="s">
        <v>1157</v>
      </c>
      <c r="O79" s="1" t="s">
        <v>1156</v>
      </c>
    </row>
    <row r="80" spans="1:22">
      <c r="A80" s="1" t="s">
        <v>969</v>
      </c>
      <c r="B80" s="1" t="s">
        <v>990</v>
      </c>
      <c r="C80" s="1">
        <f t="shared" si="11"/>
        <v>3</v>
      </c>
      <c r="D80" s="1">
        <f t="shared" si="12"/>
        <v>4</v>
      </c>
      <c r="E80" s="1" t="str">
        <f t="shared" si="13"/>
        <v>甘草</v>
      </c>
      <c r="F80" s="1">
        <f t="shared" si="13"/>
        <v>0</v>
      </c>
      <c r="G80" s="1">
        <f t="shared" si="13"/>
        <v>0</v>
      </c>
      <c r="H80" s="1">
        <f t="shared" si="13"/>
        <v>0</v>
      </c>
      <c r="I80" s="1">
        <f t="shared" si="13"/>
        <v>0</v>
      </c>
      <c r="J80" s="1">
        <f t="shared" si="13"/>
        <v>0</v>
      </c>
      <c r="K80" s="1">
        <f t="shared" si="13"/>
        <v>0</v>
      </c>
      <c r="L80" s="1">
        <f t="shared" si="13"/>
        <v>0</v>
      </c>
      <c r="M80" s="1" t="s">
        <v>1144</v>
      </c>
      <c r="N80" s="1" t="s">
        <v>1142</v>
      </c>
      <c r="O80" s="1" t="s">
        <v>1143</v>
      </c>
      <c r="P80" s="1" t="s">
        <v>1156</v>
      </c>
    </row>
    <row r="81" spans="1:21">
      <c r="A81" s="1" t="s">
        <v>969</v>
      </c>
      <c r="B81" s="1" t="s">
        <v>1494</v>
      </c>
      <c r="C81" s="1">
        <f t="shared" si="11"/>
        <v>3</v>
      </c>
      <c r="D81" s="1">
        <f t="shared" si="12"/>
        <v>4</v>
      </c>
      <c r="E81" s="1" t="str">
        <f t="shared" si="13"/>
        <v>甘草</v>
      </c>
      <c r="F81" s="1">
        <f t="shared" si="13"/>
        <v>0</v>
      </c>
      <c r="G81" s="1">
        <f t="shared" si="13"/>
        <v>0</v>
      </c>
      <c r="H81" s="1">
        <f t="shared" si="13"/>
        <v>0</v>
      </c>
      <c r="I81" s="1">
        <f t="shared" si="13"/>
        <v>0</v>
      </c>
      <c r="J81" s="1">
        <f t="shared" si="13"/>
        <v>0</v>
      </c>
      <c r="K81" s="1">
        <f t="shared" si="13"/>
        <v>0</v>
      </c>
      <c r="L81" s="1">
        <f t="shared" si="13"/>
        <v>0</v>
      </c>
      <c r="M81" s="1" t="s">
        <v>1144</v>
      </c>
      <c r="N81" s="1" t="s">
        <v>1160</v>
      </c>
      <c r="O81" s="1" t="s">
        <v>1142</v>
      </c>
      <c r="P81" s="1" t="s">
        <v>1156</v>
      </c>
    </row>
    <row r="82" spans="1:21">
      <c r="A82" s="1" t="s">
        <v>971</v>
      </c>
      <c r="B82" s="1" t="s">
        <v>1011</v>
      </c>
      <c r="C82" s="1">
        <f t="shared" si="11"/>
        <v>3</v>
      </c>
      <c r="D82" s="1">
        <f t="shared" si="12"/>
        <v>4</v>
      </c>
      <c r="E82" s="1" t="str">
        <f t="shared" ref="E82:L91" si="14">_xlfn.XLOOKUP(E$1,$M82:$AB82,$M82:$AB82,0,0)</f>
        <v>甘草</v>
      </c>
      <c r="F82" s="1">
        <f t="shared" si="14"/>
        <v>0</v>
      </c>
      <c r="G82" s="1">
        <f t="shared" si="14"/>
        <v>0</v>
      </c>
      <c r="H82" s="1">
        <f t="shared" si="14"/>
        <v>0</v>
      </c>
      <c r="I82" s="1">
        <f t="shared" si="14"/>
        <v>0</v>
      </c>
      <c r="J82" s="1">
        <f t="shared" si="14"/>
        <v>0</v>
      </c>
      <c r="K82" s="1">
        <f t="shared" si="14"/>
        <v>0</v>
      </c>
      <c r="L82" s="1">
        <f t="shared" si="14"/>
        <v>0</v>
      </c>
      <c r="M82" s="1" t="s">
        <v>1191</v>
      </c>
      <c r="N82" s="1" t="s">
        <v>1145</v>
      </c>
      <c r="O82" s="1" t="s">
        <v>1178</v>
      </c>
      <c r="P82" s="1" t="s">
        <v>1156</v>
      </c>
    </row>
    <row r="83" spans="1:21">
      <c r="A83" s="1" t="s">
        <v>972</v>
      </c>
      <c r="B83" s="1" t="s">
        <v>1015</v>
      </c>
      <c r="C83" s="1">
        <f t="shared" si="11"/>
        <v>3</v>
      </c>
      <c r="D83" s="1">
        <f t="shared" si="12"/>
        <v>4</v>
      </c>
      <c r="E83" s="1" t="str">
        <f t="shared" si="14"/>
        <v>甘草</v>
      </c>
      <c r="F83" s="1">
        <f t="shared" si="14"/>
        <v>0</v>
      </c>
      <c r="G83" s="1">
        <f t="shared" si="14"/>
        <v>0</v>
      </c>
      <c r="H83" s="1">
        <f t="shared" si="14"/>
        <v>0</v>
      </c>
      <c r="I83" s="1">
        <f t="shared" si="14"/>
        <v>0</v>
      </c>
      <c r="J83" s="1">
        <f t="shared" si="14"/>
        <v>0</v>
      </c>
      <c r="K83" s="1">
        <f t="shared" si="14"/>
        <v>0</v>
      </c>
      <c r="L83" s="1">
        <f t="shared" si="14"/>
        <v>0</v>
      </c>
      <c r="M83" s="1" t="s">
        <v>1214</v>
      </c>
      <c r="N83" s="1" t="s">
        <v>1160</v>
      </c>
      <c r="O83" s="1" t="s">
        <v>1215</v>
      </c>
      <c r="P83" s="1" t="s">
        <v>1156</v>
      </c>
    </row>
    <row r="84" spans="1:21">
      <c r="A84" s="1" t="s">
        <v>972</v>
      </c>
      <c r="B84" s="1" t="s">
        <v>1027</v>
      </c>
      <c r="C84" s="1">
        <f t="shared" si="11"/>
        <v>3</v>
      </c>
      <c r="D84" s="1">
        <f t="shared" si="12"/>
        <v>4</v>
      </c>
      <c r="E84" s="1" t="str">
        <f t="shared" si="14"/>
        <v>甘草</v>
      </c>
      <c r="F84" s="1">
        <f t="shared" si="14"/>
        <v>0</v>
      </c>
      <c r="G84" s="1">
        <f t="shared" si="14"/>
        <v>0</v>
      </c>
      <c r="H84" s="1">
        <f t="shared" si="14"/>
        <v>0</v>
      </c>
      <c r="I84" s="1">
        <f t="shared" si="14"/>
        <v>0</v>
      </c>
      <c r="J84" s="1">
        <f t="shared" si="14"/>
        <v>0</v>
      </c>
      <c r="K84" s="1">
        <f t="shared" si="14"/>
        <v>0</v>
      </c>
      <c r="L84" s="1">
        <f t="shared" si="14"/>
        <v>0</v>
      </c>
      <c r="M84" s="1" t="s">
        <v>1249</v>
      </c>
      <c r="N84" s="1" t="s">
        <v>1215</v>
      </c>
      <c r="O84" s="1" t="s">
        <v>1248</v>
      </c>
      <c r="P84" s="1" t="s">
        <v>1156</v>
      </c>
    </row>
    <row r="85" spans="1:21">
      <c r="A85" s="1" t="s">
        <v>975</v>
      </c>
      <c r="B85" s="1" t="s">
        <v>1045</v>
      </c>
      <c r="C85" s="1">
        <f t="shared" si="11"/>
        <v>3</v>
      </c>
      <c r="D85" s="1">
        <f t="shared" si="12"/>
        <v>4</v>
      </c>
      <c r="E85" s="1" t="str">
        <f t="shared" si="14"/>
        <v>甘草</v>
      </c>
      <c r="F85" s="1">
        <f t="shared" si="14"/>
        <v>0</v>
      </c>
      <c r="G85" s="1">
        <f t="shared" si="14"/>
        <v>0</v>
      </c>
      <c r="H85" s="1">
        <f t="shared" si="14"/>
        <v>0</v>
      </c>
      <c r="I85" s="1">
        <f t="shared" si="14"/>
        <v>0</v>
      </c>
      <c r="J85" s="1">
        <f t="shared" si="14"/>
        <v>0</v>
      </c>
      <c r="K85" s="1">
        <f t="shared" si="14"/>
        <v>0</v>
      </c>
      <c r="L85" s="1">
        <f t="shared" si="14"/>
        <v>0</v>
      </c>
      <c r="M85" s="1" t="s">
        <v>1155</v>
      </c>
      <c r="N85" s="1" t="s">
        <v>1213</v>
      </c>
      <c r="O85" s="1" t="s">
        <v>1179</v>
      </c>
      <c r="P85" s="1" t="s">
        <v>1156</v>
      </c>
    </row>
    <row r="86" spans="1:21">
      <c r="A86" s="1" t="s">
        <v>981</v>
      </c>
      <c r="B86" s="1" t="s">
        <v>1087</v>
      </c>
      <c r="C86" s="1">
        <f t="shared" si="11"/>
        <v>4</v>
      </c>
      <c r="D86" s="1">
        <f t="shared" si="12"/>
        <v>5</v>
      </c>
      <c r="E86" s="1" t="str">
        <f t="shared" si="14"/>
        <v>甘草</v>
      </c>
      <c r="F86" s="1">
        <f t="shared" si="14"/>
        <v>0</v>
      </c>
      <c r="G86" s="1">
        <f t="shared" si="14"/>
        <v>0</v>
      </c>
      <c r="H86" s="1">
        <f t="shared" si="14"/>
        <v>0</v>
      </c>
      <c r="I86" s="1">
        <f t="shared" si="14"/>
        <v>0</v>
      </c>
      <c r="J86" s="1">
        <f t="shared" si="14"/>
        <v>0</v>
      </c>
      <c r="K86" s="1">
        <f t="shared" si="14"/>
        <v>0</v>
      </c>
      <c r="L86" s="1">
        <f t="shared" si="14"/>
        <v>0</v>
      </c>
      <c r="M86" s="1" t="s">
        <v>1194</v>
      </c>
      <c r="N86" s="1" t="s">
        <v>1192</v>
      </c>
      <c r="O86" s="1" t="s">
        <v>1143</v>
      </c>
      <c r="P86" s="1" t="s">
        <v>1189</v>
      </c>
      <c r="Q86" s="1" t="s">
        <v>1156</v>
      </c>
    </row>
    <row r="87" spans="1:21">
      <c r="A87" s="1" t="s">
        <v>981</v>
      </c>
      <c r="B87" s="1" t="s">
        <v>1092</v>
      </c>
      <c r="C87" s="1">
        <f t="shared" si="11"/>
        <v>4</v>
      </c>
      <c r="D87" s="1">
        <f t="shared" si="12"/>
        <v>5</v>
      </c>
      <c r="E87" s="1" t="str">
        <f t="shared" si="14"/>
        <v>甘草</v>
      </c>
      <c r="F87" s="1">
        <f t="shared" si="14"/>
        <v>0</v>
      </c>
      <c r="G87" s="1">
        <f t="shared" si="14"/>
        <v>0</v>
      </c>
      <c r="H87" s="1">
        <f t="shared" si="14"/>
        <v>0</v>
      </c>
      <c r="I87" s="1">
        <f t="shared" si="14"/>
        <v>0</v>
      </c>
      <c r="J87" s="1">
        <f t="shared" si="14"/>
        <v>0</v>
      </c>
      <c r="K87" s="1">
        <f t="shared" si="14"/>
        <v>0</v>
      </c>
      <c r="L87" s="1">
        <f t="shared" si="14"/>
        <v>0</v>
      </c>
      <c r="M87" s="1" t="s">
        <v>1194</v>
      </c>
      <c r="N87" s="1" t="s">
        <v>1364</v>
      </c>
      <c r="O87" s="1" t="s">
        <v>1365</v>
      </c>
      <c r="P87" s="1" t="s">
        <v>1152</v>
      </c>
      <c r="Q87" s="1" t="s">
        <v>1156</v>
      </c>
    </row>
    <row r="88" spans="1:21">
      <c r="A88" s="1" t="s">
        <v>969</v>
      </c>
      <c r="B88" s="1" t="s">
        <v>995</v>
      </c>
      <c r="C88" s="1">
        <f t="shared" si="11"/>
        <v>6</v>
      </c>
      <c r="D88" s="1">
        <f t="shared" si="12"/>
        <v>7</v>
      </c>
      <c r="E88" s="1" t="str">
        <f t="shared" si="14"/>
        <v>甘草</v>
      </c>
      <c r="F88" s="1">
        <f t="shared" si="14"/>
        <v>0</v>
      </c>
      <c r="G88" s="1">
        <f t="shared" si="14"/>
        <v>0</v>
      </c>
      <c r="H88" s="1">
        <f t="shared" si="14"/>
        <v>0</v>
      </c>
      <c r="I88" s="1">
        <f t="shared" si="14"/>
        <v>0</v>
      </c>
      <c r="J88" s="1">
        <f t="shared" si="14"/>
        <v>0</v>
      </c>
      <c r="K88" s="1">
        <f t="shared" si="14"/>
        <v>0</v>
      </c>
      <c r="L88" s="1">
        <f t="shared" si="14"/>
        <v>0</v>
      </c>
      <c r="M88" s="1" t="s">
        <v>1163</v>
      </c>
      <c r="N88" s="1" t="s">
        <v>1161</v>
      </c>
      <c r="O88" s="1" t="s">
        <v>1162</v>
      </c>
      <c r="P88" s="1" t="s">
        <v>1166</v>
      </c>
      <c r="Q88" s="1" t="s">
        <v>1164</v>
      </c>
      <c r="R88" s="1" t="s">
        <v>1165</v>
      </c>
      <c r="S88" s="1" t="s">
        <v>1156</v>
      </c>
    </row>
    <row r="89" spans="1:21">
      <c r="A89" s="1" t="s">
        <v>974</v>
      </c>
      <c r="B89" s="1" t="s">
        <v>1043</v>
      </c>
      <c r="C89" s="1">
        <f t="shared" si="11"/>
        <v>6</v>
      </c>
      <c r="D89" s="1">
        <f t="shared" si="12"/>
        <v>7</v>
      </c>
      <c r="E89" s="1" t="str">
        <f t="shared" si="14"/>
        <v>甘草</v>
      </c>
      <c r="F89" s="1">
        <f t="shared" si="14"/>
        <v>0</v>
      </c>
      <c r="G89" s="1">
        <f t="shared" si="14"/>
        <v>0</v>
      </c>
      <c r="H89" s="1">
        <f t="shared" si="14"/>
        <v>0</v>
      </c>
      <c r="I89" s="1">
        <f t="shared" si="14"/>
        <v>0</v>
      </c>
      <c r="J89" s="1">
        <f t="shared" si="14"/>
        <v>0</v>
      </c>
      <c r="K89" s="1">
        <f t="shared" si="14"/>
        <v>0</v>
      </c>
      <c r="L89" s="1">
        <f t="shared" si="14"/>
        <v>0</v>
      </c>
      <c r="M89" s="1" t="s">
        <v>1251</v>
      </c>
      <c r="N89" s="1" t="s">
        <v>1273</v>
      </c>
      <c r="O89" s="1" t="s">
        <v>1142</v>
      </c>
      <c r="P89" s="1" t="s">
        <v>1274</v>
      </c>
      <c r="Q89" s="1" t="s">
        <v>1276</v>
      </c>
      <c r="R89" s="1" t="s">
        <v>1275</v>
      </c>
      <c r="S89" s="1" t="s">
        <v>1156</v>
      </c>
    </row>
    <row r="90" spans="1:21">
      <c r="A90" s="1" t="s">
        <v>980</v>
      </c>
      <c r="B90" s="1" t="s">
        <v>1082</v>
      </c>
      <c r="C90" s="1">
        <f t="shared" si="11"/>
        <v>6</v>
      </c>
      <c r="D90" s="1">
        <f t="shared" si="12"/>
        <v>7</v>
      </c>
      <c r="E90" s="1" t="str">
        <f t="shared" si="14"/>
        <v>甘草</v>
      </c>
      <c r="F90" s="1">
        <f t="shared" si="14"/>
        <v>0</v>
      </c>
      <c r="G90" s="1">
        <f t="shared" si="14"/>
        <v>0</v>
      </c>
      <c r="H90" s="1">
        <f t="shared" si="14"/>
        <v>0</v>
      </c>
      <c r="I90" s="1">
        <f t="shared" si="14"/>
        <v>0</v>
      </c>
      <c r="J90" s="1">
        <f t="shared" si="14"/>
        <v>0</v>
      </c>
      <c r="K90" s="1">
        <f t="shared" si="14"/>
        <v>0</v>
      </c>
      <c r="L90" s="1">
        <f t="shared" si="14"/>
        <v>0</v>
      </c>
      <c r="M90" s="1" t="s">
        <v>1181</v>
      </c>
      <c r="N90" s="1" t="s">
        <v>1333</v>
      </c>
      <c r="O90" s="1" t="s">
        <v>1145</v>
      </c>
      <c r="P90" s="1" t="s">
        <v>1152</v>
      </c>
      <c r="Q90" s="1" t="s">
        <v>1166</v>
      </c>
      <c r="R90" s="1" t="s">
        <v>1178</v>
      </c>
      <c r="S90" s="1" t="s">
        <v>1156</v>
      </c>
    </row>
    <row r="91" spans="1:21">
      <c r="A91" s="1" t="s">
        <v>985</v>
      </c>
      <c r="B91" s="1" t="s">
        <v>1128</v>
      </c>
      <c r="C91" s="1">
        <f t="shared" si="11"/>
        <v>6</v>
      </c>
      <c r="D91" s="1">
        <f t="shared" si="12"/>
        <v>7</v>
      </c>
      <c r="E91" s="1" t="str">
        <f t="shared" si="14"/>
        <v>甘草</v>
      </c>
      <c r="F91" s="1">
        <f t="shared" si="14"/>
        <v>0</v>
      </c>
      <c r="G91" s="1">
        <f t="shared" si="14"/>
        <v>0</v>
      </c>
      <c r="H91" s="1">
        <f t="shared" si="14"/>
        <v>0</v>
      </c>
      <c r="I91" s="1">
        <f t="shared" si="14"/>
        <v>0</v>
      </c>
      <c r="J91" s="1">
        <f t="shared" si="14"/>
        <v>0</v>
      </c>
      <c r="K91" s="1">
        <f t="shared" si="14"/>
        <v>0</v>
      </c>
      <c r="L91" s="1">
        <f t="shared" si="14"/>
        <v>0</v>
      </c>
      <c r="M91" s="1" t="s">
        <v>1148</v>
      </c>
      <c r="N91" s="1" t="s">
        <v>1457</v>
      </c>
      <c r="O91" s="1" t="s">
        <v>1456</v>
      </c>
      <c r="P91" s="1" t="s">
        <v>1149</v>
      </c>
      <c r="Q91" s="1" t="s">
        <v>1182</v>
      </c>
      <c r="R91" s="1" t="s">
        <v>1152</v>
      </c>
      <c r="S91" s="1" t="s">
        <v>1156</v>
      </c>
    </row>
    <row r="92" spans="1:21">
      <c r="A92" s="1" t="s">
        <v>969</v>
      </c>
      <c r="B92" s="1" t="s">
        <v>997</v>
      </c>
      <c r="C92" s="1">
        <f t="shared" si="11"/>
        <v>7</v>
      </c>
      <c r="D92" s="1">
        <f t="shared" si="12"/>
        <v>8</v>
      </c>
      <c r="E92" s="1" t="str">
        <f t="shared" ref="E92:L101" si="15">_xlfn.XLOOKUP(E$1,$M92:$AB92,$M92:$AB92,0,0)</f>
        <v>甘草</v>
      </c>
      <c r="F92" s="1">
        <f t="shared" si="15"/>
        <v>0</v>
      </c>
      <c r="G92" s="1">
        <f t="shared" si="15"/>
        <v>0</v>
      </c>
      <c r="H92" s="1">
        <f t="shared" si="15"/>
        <v>0</v>
      </c>
      <c r="I92" s="1">
        <f t="shared" si="15"/>
        <v>0</v>
      </c>
      <c r="J92" s="1">
        <f t="shared" si="15"/>
        <v>0</v>
      </c>
      <c r="K92" s="1">
        <f t="shared" si="15"/>
        <v>0</v>
      </c>
      <c r="L92" s="1">
        <f t="shared" si="15"/>
        <v>0</v>
      </c>
      <c r="M92" s="1" t="s">
        <v>1144</v>
      </c>
      <c r="N92" s="1" t="s">
        <v>1177</v>
      </c>
      <c r="O92" s="1" t="s">
        <v>1175</v>
      </c>
      <c r="P92" s="1" t="s">
        <v>1167</v>
      </c>
      <c r="Q92" s="1" t="s">
        <v>1176</v>
      </c>
      <c r="R92" s="1" t="s">
        <v>1161</v>
      </c>
      <c r="S92" s="1" t="s">
        <v>1169</v>
      </c>
      <c r="T92" s="1" t="s">
        <v>1156</v>
      </c>
    </row>
    <row r="93" spans="1:21">
      <c r="A93" s="1" t="s">
        <v>984</v>
      </c>
      <c r="B93" s="1" t="s">
        <v>1114</v>
      </c>
      <c r="C93" s="1">
        <f t="shared" si="11"/>
        <v>7</v>
      </c>
      <c r="D93" s="1">
        <f t="shared" si="12"/>
        <v>8</v>
      </c>
      <c r="E93" s="1" t="str">
        <f t="shared" si="15"/>
        <v>甘草</v>
      </c>
      <c r="F93" s="1">
        <f t="shared" si="15"/>
        <v>0</v>
      </c>
      <c r="G93" s="1">
        <f t="shared" si="15"/>
        <v>0</v>
      </c>
      <c r="H93" s="1">
        <f t="shared" si="15"/>
        <v>0</v>
      </c>
      <c r="I93" s="1">
        <f t="shared" si="15"/>
        <v>0</v>
      </c>
      <c r="J93" s="1">
        <f t="shared" si="15"/>
        <v>0</v>
      </c>
      <c r="K93" s="1">
        <f t="shared" si="15"/>
        <v>0</v>
      </c>
      <c r="L93" s="1">
        <f t="shared" si="15"/>
        <v>0</v>
      </c>
      <c r="M93" s="1" t="s">
        <v>1227</v>
      </c>
      <c r="N93" s="1" t="s">
        <v>1257</v>
      </c>
      <c r="O93" s="1" t="s">
        <v>1220</v>
      </c>
      <c r="P93" s="1" t="s">
        <v>1258</v>
      </c>
      <c r="Q93" s="1" t="s">
        <v>1231</v>
      </c>
      <c r="R93" s="1" t="s">
        <v>1169</v>
      </c>
      <c r="S93" s="1" t="s">
        <v>1211</v>
      </c>
      <c r="T93" s="1" t="s">
        <v>1156</v>
      </c>
    </row>
    <row r="94" spans="1:21">
      <c r="A94" s="1" t="s">
        <v>969</v>
      </c>
      <c r="B94" s="1" t="s">
        <v>992</v>
      </c>
      <c r="C94" s="1">
        <f t="shared" si="11"/>
        <v>8</v>
      </c>
      <c r="D94" s="1">
        <f t="shared" si="12"/>
        <v>9</v>
      </c>
      <c r="E94" s="1" t="str">
        <f t="shared" si="15"/>
        <v>甘草</v>
      </c>
      <c r="F94" s="1">
        <f t="shared" si="15"/>
        <v>0</v>
      </c>
      <c r="G94" s="1">
        <f t="shared" si="15"/>
        <v>0</v>
      </c>
      <c r="H94" s="1">
        <f t="shared" si="15"/>
        <v>0</v>
      </c>
      <c r="I94" s="1">
        <f t="shared" si="15"/>
        <v>0</v>
      </c>
      <c r="J94" s="1">
        <f t="shared" si="15"/>
        <v>0</v>
      </c>
      <c r="K94" s="1">
        <f t="shared" si="15"/>
        <v>0</v>
      </c>
      <c r="L94" s="1">
        <f t="shared" si="15"/>
        <v>0</v>
      </c>
      <c r="M94" s="1" t="s">
        <v>1151</v>
      </c>
      <c r="N94" s="1" t="s">
        <v>1154</v>
      </c>
      <c r="O94" s="1" t="s">
        <v>1148</v>
      </c>
      <c r="P94" s="1" t="s">
        <v>1155</v>
      </c>
      <c r="Q94" s="1" t="s">
        <v>1149</v>
      </c>
      <c r="R94" s="1" t="s">
        <v>1152</v>
      </c>
      <c r="S94" s="1" t="s">
        <v>1150</v>
      </c>
      <c r="T94" s="1" t="s">
        <v>1153</v>
      </c>
      <c r="U94" s="1" t="s">
        <v>1156</v>
      </c>
    </row>
    <row r="95" spans="1:21">
      <c r="A95" s="1" t="s">
        <v>972</v>
      </c>
      <c r="B95" s="1" t="s">
        <v>1020</v>
      </c>
      <c r="C95" s="1">
        <f t="shared" si="11"/>
        <v>8</v>
      </c>
      <c r="D95" s="1">
        <f t="shared" si="12"/>
        <v>9</v>
      </c>
      <c r="E95" s="1" t="str">
        <f t="shared" si="15"/>
        <v>甘草</v>
      </c>
      <c r="F95" s="1">
        <f t="shared" si="15"/>
        <v>0</v>
      </c>
      <c r="G95" s="1">
        <f t="shared" si="15"/>
        <v>0</v>
      </c>
      <c r="H95" s="1">
        <f t="shared" si="15"/>
        <v>0</v>
      </c>
      <c r="I95" s="1">
        <f t="shared" si="15"/>
        <v>0</v>
      </c>
      <c r="J95" s="1">
        <f t="shared" si="15"/>
        <v>0</v>
      </c>
      <c r="K95" s="1">
        <f t="shared" si="15"/>
        <v>0</v>
      </c>
      <c r="L95" s="1">
        <f t="shared" si="15"/>
        <v>0</v>
      </c>
      <c r="M95" s="1" t="s">
        <v>1170</v>
      </c>
      <c r="N95" s="1" t="s">
        <v>1225</v>
      </c>
      <c r="O95" s="1" t="s">
        <v>1226</v>
      </c>
      <c r="P95" s="1" t="s">
        <v>1192</v>
      </c>
      <c r="Q95" s="1" t="s">
        <v>1167</v>
      </c>
      <c r="R95" s="1" t="s">
        <v>1155</v>
      </c>
      <c r="S95" s="1" t="s">
        <v>1189</v>
      </c>
      <c r="T95" s="1" t="s">
        <v>1169</v>
      </c>
      <c r="U95" s="1" t="s">
        <v>1156</v>
      </c>
    </row>
    <row r="96" spans="1:21">
      <c r="A96" s="1" t="s">
        <v>983</v>
      </c>
      <c r="B96" s="1" t="s">
        <v>1099</v>
      </c>
      <c r="C96" s="1">
        <f t="shared" si="11"/>
        <v>8</v>
      </c>
      <c r="D96" s="1">
        <f t="shared" si="12"/>
        <v>9</v>
      </c>
      <c r="E96" s="1" t="str">
        <f t="shared" si="15"/>
        <v>甘草</v>
      </c>
      <c r="F96" s="1">
        <f t="shared" si="15"/>
        <v>0</v>
      </c>
      <c r="G96" s="1">
        <f t="shared" si="15"/>
        <v>0</v>
      </c>
      <c r="H96" s="1">
        <f t="shared" si="15"/>
        <v>0</v>
      </c>
      <c r="I96" s="1">
        <f t="shared" si="15"/>
        <v>0</v>
      </c>
      <c r="J96" s="1">
        <f t="shared" si="15"/>
        <v>0</v>
      </c>
      <c r="K96" s="1">
        <f t="shared" si="15"/>
        <v>0</v>
      </c>
      <c r="L96" s="1">
        <f t="shared" si="15"/>
        <v>0</v>
      </c>
      <c r="M96" s="1" t="s">
        <v>1151</v>
      </c>
      <c r="N96" s="1" t="s">
        <v>1148</v>
      </c>
      <c r="O96" s="1" t="s">
        <v>1162</v>
      </c>
      <c r="P96" s="1" t="s">
        <v>1149</v>
      </c>
      <c r="Q96" s="1" t="s">
        <v>1152</v>
      </c>
      <c r="R96" s="1" t="s">
        <v>1381</v>
      </c>
      <c r="S96" s="1" t="s">
        <v>1169</v>
      </c>
      <c r="T96" s="1" t="s">
        <v>1153</v>
      </c>
      <c r="U96" s="1" t="s">
        <v>1156</v>
      </c>
    </row>
    <row r="97" spans="1:44">
      <c r="A97" s="1" t="s">
        <v>985</v>
      </c>
      <c r="B97" s="1" t="s">
        <v>1117</v>
      </c>
      <c r="C97" s="1">
        <f t="shared" si="11"/>
        <v>8</v>
      </c>
      <c r="D97" s="1">
        <f t="shared" si="12"/>
        <v>9</v>
      </c>
      <c r="E97" s="1" t="str">
        <f t="shared" si="15"/>
        <v>甘草</v>
      </c>
      <c r="F97" s="1">
        <f t="shared" si="15"/>
        <v>0</v>
      </c>
      <c r="G97" s="1">
        <f t="shared" si="15"/>
        <v>0</v>
      </c>
      <c r="H97" s="1">
        <f t="shared" si="15"/>
        <v>0</v>
      </c>
      <c r="I97" s="1">
        <f t="shared" si="15"/>
        <v>0</v>
      </c>
      <c r="J97" s="1">
        <f t="shared" si="15"/>
        <v>0</v>
      </c>
      <c r="K97" s="1">
        <f t="shared" si="15"/>
        <v>0</v>
      </c>
      <c r="L97" s="1">
        <f t="shared" si="15"/>
        <v>0</v>
      </c>
      <c r="M97" s="1" t="s">
        <v>1434</v>
      </c>
      <c r="N97" s="1" t="s">
        <v>1376</v>
      </c>
      <c r="O97" s="1" t="s">
        <v>1432</v>
      </c>
      <c r="P97" s="1" t="s">
        <v>1241</v>
      </c>
      <c r="Q97" s="1" t="s">
        <v>1209</v>
      </c>
      <c r="R97" s="1" t="s">
        <v>1435</v>
      </c>
      <c r="S97" s="1" t="s">
        <v>1243</v>
      </c>
      <c r="T97" s="1" t="s">
        <v>1433</v>
      </c>
      <c r="U97" s="1" t="s">
        <v>1156</v>
      </c>
    </row>
    <row r="98" spans="1:44">
      <c r="A98" s="1" t="s">
        <v>969</v>
      </c>
      <c r="B98" s="1" t="s">
        <v>996</v>
      </c>
      <c r="C98" s="1">
        <f t="shared" ref="C98:C129" si="16">D98-COUNTIF(E98:L98,"&lt;&gt;0")</f>
        <v>9</v>
      </c>
      <c r="D98" s="1">
        <f t="shared" ref="D98:D129" si="17">COUNTA(M98:AB98)</f>
        <v>10</v>
      </c>
      <c r="E98" s="1" t="str">
        <f t="shared" si="15"/>
        <v>甘草</v>
      </c>
      <c r="F98" s="1">
        <f t="shared" si="15"/>
        <v>0</v>
      </c>
      <c r="G98" s="1">
        <f t="shared" si="15"/>
        <v>0</v>
      </c>
      <c r="H98" s="1">
        <f t="shared" si="15"/>
        <v>0</v>
      </c>
      <c r="I98" s="1">
        <f t="shared" si="15"/>
        <v>0</v>
      </c>
      <c r="J98" s="1">
        <f t="shared" si="15"/>
        <v>0</v>
      </c>
      <c r="K98" s="1">
        <f t="shared" si="15"/>
        <v>0</v>
      </c>
      <c r="L98" s="1">
        <f t="shared" si="15"/>
        <v>0</v>
      </c>
      <c r="M98" s="1" t="s">
        <v>1170</v>
      </c>
      <c r="N98" s="1" t="s">
        <v>1168</v>
      </c>
      <c r="O98" s="1" t="s">
        <v>1174</v>
      </c>
      <c r="P98" s="1" t="s">
        <v>1173</v>
      </c>
      <c r="Q98" s="1" t="s">
        <v>1167</v>
      </c>
      <c r="R98" s="1" t="s">
        <v>1161</v>
      </c>
      <c r="S98" s="1" t="s">
        <v>1171</v>
      </c>
      <c r="T98" s="1" t="s">
        <v>1172</v>
      </c>
      <c r="U98" s="1" t="s">
        <v>1169</v>
      </c>
      <c r="V98" s="1" t="s">
        <v>1156</v>
      </c>
    </row>
    <row r="99" spans="1:44">
      <c r="A99" s="1" t="s">
        <v>973</v>
      </c>
      <c r="B99" s="1" t="s">
        <v>1036</v>
      </c>
      <c r="C99" s="1">
        <f t="shared" si="16"/>
        <v>9</v>
      </c>
      <c r="D99" s="1">
        <f t="shared" si="17"/>
        <v>10</v>
      </c>
      <c r="E99" s="1" t="str">
        <f t="shared" si="15"/>
        <v>甘草</v>
      </c>
      <c r="F99" s="1">
        <f t="shared" si="15"/>
        <v>0</v>
      </c>
      <c r="G99" s="1">
        <f t="shared" si="15"/>
        <v>0</v>
      </c>
      <c r="H99" s="1">
        <f t="shared" si="15"/>
        <v>0</v>
      </c>
      <c r="I99" s="1">
        <f t="shared" si="15"/>
        <v>0</v>
      </c>
      <c r="J99" s="1">
        <f t="shared" si="15"/>
        <v>0</v>
      </c>
      <c r="K99" s="1">
        <f t="shared" si="15"/>
        <v>0</v>
      </c>
      <c r="L99" s="1">
        <f t="shared" si="15"/>
        <v>0</v>
      </c>
      <c r="M99" s="1" t="s">
        <v>1170</v>
      </c>
      <c r="N99" s="1" t="s">
        <v>1214</v>
      </c>
      <c r="O99" s="1" t="s">
        <v>1264</v>
      </c>
      <c r="P99" s="1" t="s">
        <v>1267</v>
      </c>
      <c r="Q99" s="1" t="s">
        <v>1265</v>
      </c>
      <c r="R99" s="1" t="s">
        <v>1220</v>
      </c>
      <c r="S99" s="1" t="s">
        <v>1215</v>
      </c>
      <c r="T99" s="1" t="s">
        <v>1213</v>
      </c>
      <c r="U99" s="1" t="s">
        <v>1266</v>
      </c>
      <c r="V99" s="1" t="s">
        <v>1156</v>
      </c>
    </row>
    <row r="100" spans="1:44">
      <c r="A100" s="1" t="s">
        <v>983</v>
      </c>
      <c r="B100" s="1" t="s">
        <v>1104</v>
      </c>
      <c r="C100" s="1">
        <f t="shared" si="16"/>
        <v>9</v>
      </c>
      <c r="D100" s="1">
        <f t="shared" si="17"/>
        <v>10</v>
      </c>
      <c r="E100" s="1" t="str">
        <f t="shared" si="15"/>
        <v>甘草</v>
      </c>
      <c r="F100" s="1">
        <f t="shared" si="15"/>
        <v>0</v>
      </c>
      <c r="G100" s="1">
        <f t="shared" si="15"/>
        <v>0</v>
      </c>
      <c r="H100" s="1">
        <f t="shared" si="15"/>
        <v>0</v>
      </c>
      <c r="I100" s="1">
        <f t="shared" si="15"/>
        <v>0</v>
      </c>
      <c r="J100" s="1">
        <f t="shared" si="15"/>
        <v>0</v>
      </c>
      <c r="K100" s="1">
        <f t="shared" si="15"/>
        <v>0</v>
      </c>
      <c r="L100" s="1">
        <f t="shared" si="15"/>
        <v>0</v>
      </c>
      <c r="M100" s="1" t="s">
        <v>915</v>
      </c>
      <c r="N100" s="1" t="s">
        <v>1399</v>
      </c>
      <c r="O100" s="1" t="s">
        <v>1397</v>
      </c>
      <c r="P100" s="1" t="s">
        <v>1400</v>
      </c>
      <c r="Q100" s="1" t="s">
        <v>1403</v>
      </c>
      <c r="R100" s="1" t="s">
        <v>1396</v>
      </c>
      <c r="S100" s="1" t="s">
        <v>1398</v>
      </c>
      <c r="T100" s="1" t="s">
        <v>1402</v>
      </c>
      <c r="U100" s="1" t="s">
        <v>1401</v>
      </c>
      <c r="V100" s="1" t="s">
        <v>1156</v>
      </c>
    </row>
    <row r="101" spans="1:44">
      <c r="A101" s="1" t="s">
        <v>983</v>
      </c>
      <c r="B101" s="1" t="s">
        <v>1107</v>
      </c>
      <c r="C101" s="1">
        <f t="shared" si="16"/>
        <v>10</v>
      </c>
      <c r="D101" s="1">
        <f t="shared" si="17"/>
        <v>11</v>
      </c>
      <c r="E101" s="1" t="str">
        <f t="shared" si="15"/>
        <v>甘草</v>
      </c>
      <c r="F101" s="1">
        <f t="shared" si="15"/>
        <v>0</v>
      </c>
      <c r="G101" s="1">
        <f t="shared" si="15"/>
        <v>0</v>
      </c>
      <c r="H101" s="1">
        <f t="shared" si="15"/>
        <v>0</v>
      </c>
      <c r="I101" s="1">
        <f t="shared" si="15"/>
        <v>0</v>
      </c>
      <c r="J101" s="1">
        <f t="shared" si="15"/>
        <v>0</v>
      </c>
      <c r="K101" s="1">
        <f t="shared" si="15"/>
        <v>0</v>
      </c>
      <c r="L101" s="1">
        <f t="shared" si="15"/>
        <v>0</v>
      </c>
      <c r="M101" s="1" t="s">
        <v>1159</v>
      </c>
      <c r="N101" s="1" t="s">
        <v>1407</v>
      </c>
      <c r="O101" s="1" t="s">
        <v>1408</v>
      </c>
      <c r="P101" s="1" t="s">
        <v>1403</v>
      </c>
      <c r="Q101" s="1" t="s">
        <v>1220</v>
      </c>
      <c r="R101" s="1" t="s">
        <v>1288</v>
      </c>
      <c r="S101" s="1" t="s">
        <v>1419</v>
      </c>
      <c r="T101" s="1" t="s">
        <v>1303</v>
      </c>
      <c r="U101" s="1" t="s">
        <v>1256</v>
      </c>
      <c r="V101" s="1" t="s">
        <v>1287</v>
      </c>
      <c r="W101" s="1" t="s">
        <v>1156</v>
      </c>
    </row>
    <row r="102" spans="1:44">
      <c r="A102" s="1" t="s">
        <v>983</v>
      </c>
      <c r="B102" s="1" t="s">
        <v>1105</v>
      </c>
      <c r="C102" s="1">
        <f t="shared" si="16"/>
        <v>11</v>
      </c>
      <c r="D102" s="1">
        <f t="shared" si="17"/>
        <v>12</v>
      </c>
      <c r="E102" s="1" t="str">
        <f t="shared" ref="E102:L111" si="18">_xlfn.XLOOKUP(E$1,$M102:$AB102,$M102:$AB102,0,0)</f>
        <v>甘草</v>
      </c>
      <c r="F102" s="1">
        <f t="shared" si="18"/>
        <v>0</v>
      </c>
      <c r="G102" s="1">
        <f t="shared" si="18"/>
        <v>0</v>
      </c>
      <c r="H102" s="1">
        <f t="shared" si="18"/>
        <v>0</v>
      </c>
      <c r="I102" s="1">
        <f t="shared" si="18"/>
        <v>0</v>
      </c>
      <c r="J102" s="1">
        <f t="shared" si="18"/>
        <v>0</v>
      </c>
      <c r="K102" s="1">
        <f t="shared" si="18"/>
        <v>0</v>
      </c>
      <c r="L102" s="1">
        <f t="shared" si="18"/>
        <v>0</v>
      </c>
      <c r="M102" s="1" t="s">
        <v>1411</v>
      </c>
      <c r="N102" s="1" t="s">
        <v>1227</v>
      </c>
      <c r="O102" s="1" t="s">
        <v>1409</v>
      </c>
      <c r="P102" s="1" t="s">
        <v>1405</v>
      </c>
      <c r="Q102" s="1" t="s">
        <v>1407</v>
      </c>
      <c r="R102" s="1" t="s">
        <v>1410</v>
      </c>
      <c r="S102" s="1" t="s">
        <v>1406</v>
      </c>
      <c r="T102" s="1" t="s">
        <v>1408</v>
      </c>
      <c r="U102" s="1" t="s">
        <v>1403</v>
      </c>
      <c r="V102" s="1" t="s">
        <v>1404</v>
      </c>
      <c r="W102" s="1" t="s">
        <v>1300</v>
      </c>
      <c r="X102" s="1" t="s">
        <v>1156</v>
      </c>
    </row>
    <row r="103" spans="1:44">
      <c r="A103" s="1" t="s">
        <v>974</v>
      </c>
      <c r="B103" s="1" t="s">
        <v>1040</v>
      </c>
      <c r="C103" s="1">
        <f t="shared" si="16"/>
        <v>1</v>
      </c>
      <c r="D103" s="1">
        <f t="shared" si="17"/>
        <v>4</v>
      </c>
      <c r="E103" s="1">
        <f t="shared" si="18"/>
        <v>0</v>
      </c>
      <c r="F103" s="1" t="str">
        <f t="shared" si="18"/>
        <v>生姜</v>
      </c>
      <c r="G103" s="1" t="str">
        <f t="shared" si="18"/>
        <v>大枣</v>
      </c>
      <c r="H103" s="1" t="str">
        <f t="shared" si="18"/>
        <v>人参</v>
      </c>
      <c r="I103" s="1">
        <f t="shared" si="18"/>
        <v>0</v>
      </c>
      <c r="J103" s="1">
        <f t="shared" si="18"/>
        <v>0</v>
      </c>
      <c r="K103" s="1">
        <f t="shared" si="18"/>
        <v>0</v>
      </c>
      <c r="L103" s="1">
        <f t="shared" si="18"/>
        <v>0</v>
      </c>
      <c r="M103" s="1" t="s">
        <v>1244</v>
      </c>
      <c r="N103" s="1" t="s">
        <v>1184</v>
      </c>
      <c r="O103" s="1" t="s">
        <v>1147</v>
      </c>
      <c r="P103" s="1" t="s">
        <v>1146</v>
      </c>
    </row>
    <row r="104" spans="1:44">
      <c r="A104" s="1" t="s">
        <v>975</v>
      </c>
      <c r="B104" s="1" t="s">
        <v>1046</v>
      </c>
      <c r="C104" s="1">
        <f t="shared" si="16"/>
        <v>5</v>
      </c>
      <c r="D104" s="1">
        <f t="shared" si="17"/>
        <v>8</v>
      </c>
      <c r="E104" s="1">
        <f t="shared" si="18"/>
        <v>0</v>
      </c>
      <c r="F104" s="1" t="str">
        <f t="shared" si="18"/>
        <v>生姜</v>
      </c>
      <c r="G104" s="1" t="str">
        <f t="shared" si="18"/>
        <v>大枣</v>
      </c>
      <c r="H104" s="1">
        <f t="shared" si="18"/>
        <v>0</v>
      </c>
      <c r="I104" s="1" t="str">
        <f t="shared" si="18"/>
        <v>半夏</v>
      </c>
      <c r="J104" s="1">
        <f t="shared" si="18"/>
        <v>0</v>
      </c>
      <c r="K104" s="1">
        <f t="shared" si="18"/>
        <v>0</v>
      </c>
      <c r="L104" s="1">
        <f t="shared" si="18"/>
        <v>0</v>
      </c>
      <c r="M104" s="1" t="s">
        <v>1191</v>
      </c>
      <c r="N104" s="1" t="s">
        <v>1145</v>
      </c>
      <c r="O104" s="1" t="s">
        <v>1155</v>
      </c>
      <c r="P104" s="1" t="s">
        <v>1189</v>
      </c>
      <c r="Q104" s="1" t="s">
        <v>1178</v>
      </c>
      <c r="R104" s="1" t="s">
        <v>1158</v>
      </c>
      <c r="S104" s="1" t="s">
        <v>1147</v>
      </c>
      <c r="T104" s="1" t="s">
        <v>1146</v>
      </c>
    </row>
    <row r="105" spans="1:44">
      <c r="A105" s="1" t="s">
        <v>974</v>
      </c>
      <c r="B105" s="1" t="s">
        <v>1044</v>
      </c>
      <c r="C105" s="1">
        <f t="shared" si="16"/>
        <v>3</v>
      </c>
      <c r="D105" s="1">
        <f t="shared" si="17"/>
        <v>5</v>
      </c>
      <c r="E105" s="1">
        <f t="shared" si="18"/>
        <v>0</v>
      </c>
      <c r="F105" s="1" t="str">
        <f t="shared" si="18"/>
        <v>生姜</v>
      </c>
      <c r="G105" s="1" t="str">
        <f t="shared" si="18"/>
        <v>大枣</v>
      </c>
      <c r="H105" s="1">
        <f t="shared" si="18"/>
        <v>0</v>
      </c>
      <c r="I105" s="1">
        <f t="shared" si="18"/>
        <v>0</v>
      </c>
      <c r="J105" s="1">
        <f t="shared" si="18"/>
        <v>0</v>
      </c>
      <c r="K105" s="1">
        <f t="shared" si="18"/>
        <v>0</v>
      </c>
      <c r="L105" s="1">
        <f t="shared" si="18"/>
        <v>0</v>
      </c>
      <c r="M105" s="1" t="s">
        <v>1260</v>
      </c>
      <c r="N105" s="1" t="s">
        <v>1143</v>
      </c>
      <c r="O105" s="1" t="s">
        <v>1211</v>
      </c>
      <c r="P105" s="1" t="s">
        <v>1147</v>
      </c>
      <c r="Q105" s="1" t="s">
        <v>1146</v>
      </c>
    </row>
    <row r="106" spans="1:44">
      <c r="A106" s="1" t="s">
        <v>977</v>
      </c>
      <c r="B106" s="1" t="s">
        <v>1068</v>
      </c>
      <c r="C106" s="1">
        <f t="shared" si="16"/>
        <v>4</v>
      </c>
      <c r="D106" s="1">
        <f t="shared" si="17"/>
        <v>6</v>
      </c>
      <c r="E106" s="1">
        <f t="shared" si="18"/>
        <v>0</v>
      </c>
      <c r="F106" s="1" t="str">
        <f t="shared" si="18"/>
        <v>生姜</v>
      </c>
      <c r="G106" s="1" t="str">
        <f t="shared" si="18"/>
        <v>大枣</v>
      </c>
      <c r="H106" s="1">
        <f t="shared" si="18"/>
        <v>0</v>
      </c>
      <c r="I106" s="1">
        <f t="shared" si="18"/>
        <v>0</v>
      </c>
      <c r="J106" s="1">
        <f t="shared" si="18"/>
        <v>0</v>
      </c>
      <c r="K106" s="1">
        <f t="shared" si="18"/>
        <v>0</v>
      </c>
      <c r="L106" s="1">
        <f t="shared" si="18"/>
        <v>0</v>
      </c>
      <c r="M106" s="1" t="s">
        <v>1159</v>
      </c>
      <c r="N106" s="1" t="s">
        <v>1244</v>
      </c>
      <c r="O106" s="1" t="s">
        <v>1315</v>
      </c>
      <c r="P106" s="1" t="s">
        <v>1317</v>
      </c>
      <c r="Q106" s="1" t="s">
        <v>1147</v>
      </c>
      <c r="R106" s="1" t="s">
        <v>1146</v>
      </c>
    </row>
    <row r="107" spans="1:44">
      <c r="A107" s="1" t="s">
        <v>969</v>
      </c>
      <c r="B107" s="1" t="s">
        <v>998</v>
      </c>
      <c r="C107" s="1">
        <f t="shared" si="16"/>
        <v>8</v>
      </c>
      <c r="D107" s="1">
        <f t="shared" si="17"/>
        <v>10</v>
      </c>
      <c r="E107" s="1">
        <f t="shared" si="18"/>
        <v>0</v>
      </c>
      <c r="F107" s="1" t="str">
        <f t="shared" si="18"/>
        <v>生姜</v>
      </c>
      <c r="G107" s="1" t="str">
        <f t="shared" si="18"/>
        <v>大枣</v>
      </c>
      <c r="H107" s="1">
        <f t="shared" si="18"/>
        <v>0</v>
      </c>
      <c r="I107" s="1">
        <f t="shared" si="18"/>
        <v>0</v>
      </c>
      <c r="J107" s="1">
        <f t="shared" si="18"/>
        <v>0</v>
      </c>
      <c r="K107" s="1">
        <f t="shared" si="18"/>
        <v>0</v>
      </c>
      <c r="L107" s="1">
        <f t="shared" si="18"/>
        <v>0</v>
      </c>
      <c r="M107" s="1" t="s">
        <v>1160</v>
      </c>
      <c r="N107" s="1" t="s">
        <v>1145</v>
      </c>
      <c r="O107" s="1" t="s">
        <v>1148</v>
      </c>
      <c r="P107" s="1" t="s">
        <v>1161</v>
      </c>
      <c r="Q107" s="1" t="s">
        <v>1155</v>
      </c>
      <c r="R107" s="1" t="s">
        <v>1179</v>
      </c>
      <c r="S107" s="1" t="s">
        <v>1178</v>
      </c>
      <c r="T107" s="1" t="s">
        <v>1153</v>
      </c>
      <c r="U107" s="1" t="s">
        <v>1147</v>
      </c>
      <c r="V107" s="1" t="s">
        <v>1146</v>
      </c>
      <c r="AC107" s="1" t="e" cm="1">
        <f t="array" ref="AC107:AR107">FIND({1,2,3,4,5,6,7,8},LEFT(M107:AB107,1))</f>
        <v>#VALUE!</v>
      </c>
      <c r="AD107" s="1" t="e">
        <v>#VALUE!</v>
      </c>
      <c r="AE107" s="1" t="e">
        <v>#VALUE!</v>
      </c>
      <c r="AF107" s="1" t="e">
        <v>#VALUE!</v>
      </c>
      <c r="AG107" s="1" t="e">
        <v>#VALUE!</v>
      </c>
      <c r="AH107" s="1" t="e">
        <v>#VALUE!</v>
      </c>
      <c r="AI107" s="1" t="e">
        <v>#VALUE!</v>
      </c>
      <c r="AJ107" s="1" t="e">
        <v>#VALUE!</v>
      </c>
      <c r="AK107" s="1" t="e">
        <v>#N/A</v>
      </c>
      <c r="AL107" s="1" t="e">
        <v>#N/A</v>
      </c>
      <c r="AM107" s="1" t="e">
        <v>#N/A</v>
      </c>
      <c r="AN107" s="1" t="e">
        <v>#N/A</v>
      </c>
      <c r="AO107" s="1" t="e">
        <v>#N/A</v>
      </c>
      <c r="AP107" s="1" t="e">
        <v>#N/A</v>
      </c>
      <c r="AQ107" s="1" t="e">
        <v>#N/A</v>
      </c>
      <c r="AR107" s="1" t="e">
        <v>#N/A</v>
      </c>
    </row>
    <row r="108" spans="1:44">
      <c r="A108" s="1" t="s">
        <v>976</v>
      </c>
      <c r="B108" s="1" t="s">
        <v>1051</v>
      </c>
      <c r="C108" s="1">
        <f t="shared" si="16"/>
        <v>2</v>
      </c>
      <c r="D108" s="1">
        <f t="shared" si="17"/>
        <v>3</v>
      </c>
      <c r="E108" s="1">
        <f t="shared" si="18"/>
        <v>0</v>
      </c>
      <c r="F108" s="1">
        <f t="shared" si="18"/>
        <v>0</v>
      </c>
      <c r="G108" s="1">
        <f t="shared" si="18"/>
        <v>0</v>
      </c>
      <c r="H108" s="1" t="str">
        <f t="shared" si="18"/>
        <v>人参</v>
      </c>
      <c r="I108" s="1">
        <f t="shared" si="18"/>
        <v>0</v>
      </c>
      <c r="J108" s="1">
        <f t="shared" si="18"/>
        <v>0</v>
      </c>
      <c r="K108" s="1">
        <f t="shared" si="18"/>
        <v>0</v>
      </c>
      <c r="L108" s="1">
        <f t="shared" si="18"/>
        <v>0</v>
      </c>
      <c r="M108" s="1" t="s">
        <v>1159</v>
      </c>
      <c r="N108" s="1" t="s">
        <v>1220</v>
      </c>
      <c r="O108" s="1" t="s">
        <v>1184</v>
      </c>
    </row>
    <row r="109" spans="1:44">
      <c r="A109" s="1" t="s">
        <v>974</v>
      </c>
      <c r="B109" s="1" t="s">
        <v>1039</v>
      </c>
      <c r="C109" s="1">
        <f t="shared" si="16"/>
        <v>3</v>
      </c>
      <c r="D109" s="1">
        <f t="shared" si="17"/>
        <v>4</v>
      </c>
      <c r="E109" s="1">
        <f t="shared" si="18"/>
        <v>0</v>
      </c>
      <c r="F109" s="1">
        <f t="shared" si="18"/>
        <v>0</v>
      </c>
      <c r="G109" s="1">
        <f t="shared" si="18"/>
        <v>0</v>
      </c>
      <c r="H109" s="1" t="str">
        <f t="shared" si="18"/>
        <v>人参</v>
      </c>
      <c r="I109" s="1">
        <f t="shared" si="18"/>
        <v>0</v>
      </c>
      <c r="J109" s="1">
        <f t="shared" si="18"/>
        <v>0</v>
      </c>
      <c r="K109" s="1">
        <f t="shared" si="18"/>
        <v>0</v>
      </c>
      <c r="L109" s="1">
        <f t="shared" si="18"/>
        <v>0</v>
      </c>
      <c r="M109" s="1" t="s">
        <v>1269</v>
      </c>
      <c r="N109" s="1" t="s">
        <v>1270</v>
      </c>
      <c r="O109" s="1" t="s">
        <v>1157</v>
      </c>
      <c r="P109" s="1" t="s">
        <v>1184</v>
      </c>
    </row>
    <row r="110" spans="1:44">
      <c r="A110" s="1" t="s">
        <v>977</v>
      </c>
      <c r="B110" s="1" t="s">
        <v>1066</v>
      </c>
      <c r="C110" s="1">
        <f t="shared" si="16"/>
        <v>8</v>
      </c>
      <c r="D110" s="1">
        <f t="shared" si="17"/>
        <v>9</v>
      </c>
      <c r="E110" s="1">
        <f t="shared" si="18"/>
        <v>0</v>
      </c>
      <c r="F110" s="1">
        <f t="shared" si="18"/>
        <v>0</v>
      </c>
      <c r="G110" s="1">
        <f t="shared" si="18"/>
        <v>0</v>
      </c>
      <c r="H110" s="1" t="str">
        <f t="shared" si="18"/>
        <v>人参</v>
      </c>
      <c r="I110" s="1">
        <f t="shared" si="18"/>
        <v>0</v>
      </c>
      <c r="J110" s="1">
        <f t="shared" si="18"/>
        <v>0</v>
      </c>
      <c r="K110" s="1">
        <f t="shared" si="18"/>
        <v>0</v>
      </c>
      <c r="L110" s="1">
        <f t="shared" si="18"/>
        <v>0</v>
      </c>
      <c r="M110" s="1" t="s">
        <v>1314</v>
      </c>
      <c r="N110" s="1" t="s">
        <v>1159</v>
      </c>
      <c r="O110" s="1" t="s">
        <v>1313</v>
      </c>
      <c r="P110" s="1" t="s">
        <v>1249</v>
      </c>
      <c r="Q110" s="1" t="s">
        <v>1312</v>
      </c>
      <c r="R110" s="1" t="s">
        <v>1161</v>
      </c>
      <c r="S110" s="1" t="s">
        <v>1231</v>
      </c>
      <c r="T110" s="1" t="s">
        <v>1287</v>
      </c>
      <c r="U110" s="1" t="s">
        <v>1184</v>
      </c>
    </row>
    <row r="111" spans="1:44">
      <c r="A111" s="1" t="s">
        <v>970</v>
      </c>
      <c r="B111" s="1" t="s">
        <v>1007</v>
      </c>
      <c r="C111" s="1">
        <f t="shared" si="16"/>
        <v>3</v>
      </c>
      <c r="D111" s="1">
        <f t="shared" si="17"/>
        <v>4</v>
      </c>
      <c r="E111" s="1">
        <f t="shared" si="18"/>
        <v>0</v>
      </c>
      <c r="F111" s="1">
        <f t="shared" si="18"/>
        <v>0</v>
      </c>
      <c r="G111" s="1" t="str">
        <f t="shared" si="18"/>
        <v>大枣</v>
      </c>
      <c r="H111" s="1">
        <f t="shared" si="18"/>
        <v>0</v>
      </c>
      <c r="I111" s="1">
        <f t="shared" si="18"/>
        <v>0</v>
      </c>
      <c r="J111" s="1">
        <f t="shared" si="18"/>
        <v>0</v>
      </c>
      <c r="K111" s="1">
        <f t="shared" si="18"/>
        <v>0</v>
      </c>
      <c r="L111" s="1">
        <f t="shared" si="18"/>
        <v>0</v>
      </c>
      <c r="M111" s="1" t="s">
        <v>1205</v>
      </c>
      <c r="N111" s="1" t="s">
        <v>1196</v>
      </c>
      <c r="O111" s="1" t="s">
        <v>1206</v>
      </c>
      <c r="P111" s="1" t="s">
        <v>1147</v>
      </c>
    </row>
    <row r="112" spans="1:44">
      <c r="A112" s="1" t="s">
        <v>987</v>
      </c>
      <c r="B112" s="1" t="s">
        <v>1133</v>
      </c>
      <c r="C112" s="1">
        <f t="shared" si="16"/>
        <v>2</v>
      </c>
      <c r="D112" s="1">
        <f t="shared" si="17"/>
        <v>3</v>
      </c>
      <c r="E112" s="1">
        <f t="shared" ref="E112:L121" si="19">_xlfn.XLOOKUP(E$1,$M112:$AB112,$M112:$AB112,0,0)</f>
        <v>0</v>
      </c>
      <c r="F112" s="1">
        <f t="shared" si="19"/>
        <v>0</v>
      </c>
      <c r="G112" s="1">
        <f t="shared" si="19"/>
        <v>0</v>
      </c>
      <c r="H112" s="1">
        <f t="shared" si="19"/>
        <v>0</v>
      </c>
      <c r="I112" s="1" t="str">
        <f t="shared" si="19"/>
        <v>半夏</v>
      </c>
      <c r="J112" s="1">
        <f t="shared" si="19"/>
        <v>0</v>
      </c>
      <c r="K112" s="1">
        <f t="shared" si="19"/>
        <v>0</v>
      </c>
      <c r="L112" s="1">
        <f t="shared" si="19"/>
        <v>0</v>
      </c>
      <c r="M112" s="1" t="s">
        <v>1213</v>
      </c>
      <c r="N112" s="1" t="s">
        <v>1461</v>
      </c>
      <c r="O112" s="1" t="s">
        <v>1158</v>
      </c>
    </row>
    <row r="113" spans="1:20">
      <c r="A113" s="1" t="s">
        <v>985</v>
      </c>
      <c r="B113" s="1" t="s">
        <v>1118</v>
      </c>
      <c r="C113" s="1">
        <f t="shared" si="16"/>
        <v>7</v>
      </c>
      <c r="D113" s="1">
        <f t="shared" si="17"/>
        <v>8</v>
      </c>
      <c r="E113" s="1">
        <f t="shared" si="19"/>
        <v>0</v>
      </c>
      <c r="F113" s="1">
        <f t="shared" si="19"/>
        <v>0</v>
      </c>
      <c r="G113" s="1">
        <f t="shared" si="19"/>
        <v>0</v>
      </c>
      <c r="H113" s="1">
        <f t="shared" si="19"/>
        <v>0</v>
      </c>
      <c r="I113" s="1" t="str">
        <f t="shared" si="19"/>
        <v>半夏</v>
      </c>
      <c r="J113" s="1">
        <f t="shared" si="19"/>
        <v>0</v>
      </c>
      <c r="K113" s="1">
        <f t="shared" si="19"/>
        <v>0</v>
      </c>
      <c r="L113" s="1">
        <f t="shared" si="19"/>
        <v>0</v>
      </c>
      <c r="M113" s="1" t="s">
        <v>1170</v>
      </c>
      <c r="N113" s="1" t="s">
        <v>1246</v>
      </c>
      <c r="O113" s="1" t="s">
        <v>1144</v>
      </c>
      <c r="P113" s="1" t="s">
        <v>1272</v>
      </c>
      <c r="Q113" s="1" t="s">
        <v>1209</v>
      </c>
      <c r="R113" s="1" t="s">
        <v>1190</v>
      </c>
      <c r="S113" s="1" t="s">
        <v>1436</v>
      </c>
      <c r="T113" s="1" t="s">
        <v>1158</v>
      </c>
    </row>
    <row r="114" spans="1:20">
      <c r="A114" s="1" t="s">
        <v>972</v>
      </c>
      <c r="B114" s="1" t="s">
        <v>1025</v>
      </c>
      <c r="C114" s="1">
        <f t="shared" si="16"/>
        <v>2</v>
      </c>
      <c r="D114" s="1">
        <f t="shared" si="17"/>
        <v>2</v>
      </c>
      <c r="E114" s="1">
        <f t="shared" si="19"/>
        <v>0</v>
      </c>
      <c r="F114" s="1">
        <f t="shared" si="19"/>
        <v>0</v>
      </c>
      <c r="G114" s="1">
        <f t="shared" si="19"/>
        <v>0</v>
      </c>
      <c r="H114" s="1">
        <f t="shared" si="19"/>
        <v>0</v>
      </c>
      <c r="I114" s="1">
        <f t="shared" si="19"/>
        <v>0</v>
      </c>
      <c r="J114" s="1">
        <f t="shared" si="19"/>
        <v>0</v>
      </c>
      <c r="K114" s="1">
        <f t="shared" si="19"/>
        <v>0</v>
      </c>
      <c r="L114" s="1">
        <f t="shared" si="19"/>
        <v>0</v>
      </c>
      <c r="M114" s="1" t="s">
        <v>1244</v>
      </c>
      <c r="N114" s="1" t="s">
        <v>1213</v>
      </c>
    </row>
    <row r="115" spans="1:20">
      <c r="A115" s="1" t="s">
        <v>981</v>
      </c>
      <c r="B115" s="1" t="s">
        <v>1093</v>
      </c>
      <c r="C115" s="1">
        <f t="shared" si="16"/>
        <v>2</v>
      </c>
      <c r="D115" s="1">
        <f t="shared" si="17"/>
        <v>2</v>
      </c>
      <c r="E115" s="1">
        <f t="shared" si="19"/>
        <v>0</v>
      </c>
      <c r="F115" s="1">
        <f t="shared" si="19"/>
        <v>0</v>
      </c>
      <c r="G115" s="1">
        <f t="shared" si="19"/>
        <v>0</v>
      </c>
      <c r="H115" s="1">
        <f t="shared" si="19"/>
        <v>0</v>
      </c>
      <c r="I115" s="1">
        <f t="shared" si="19"/>
        <v>0</v>
      </c>
      <c r="J115" s="1">
        <f t="shared" si="19"/>
        <v>0</v>
      </c>
      <c r="K115" s="1">
        <f t="shared" si="19"/>
        <v>0</v>
      </c>
      <c r="L115" s="1">
        <f t="shared" si="19"/>
        <v>0</v>
      </c>
      <c r="M115" s="1" t="s">
        <v>1366</v>
      </c>
      <c r="N115" s="1" t="s">
        <v>1367</v>
      </c>
    </row>
    <row r="116" spans="1:20">
      <c r="A116" s="1" t="s">
        <v>970</v>
      </c>
      <c r="B116" s="1" t="s">
        <v>1003</v>
      </c>
      <c r="C116" s="1">
        <f t="shared" si="16"/>
        <v>3</v>
      </c>
      <c r="D116" s="1">
        <f t="shared" si="17"/>
        <v>3</v>
      </c>
      <c r="E116" s="1">
        <f t="shared" si="19"/>
        <v>0</v>
      </c>
      <c r="F116" s="1">
        <f t="shared" si="19"/>
        <v>0</v>
      </c>
      <c r="G116" s="1">
        <f t="shared" si="19"/>
        <v>0</v>
      </c>
      <c r="H116" s="1">
        <f t="shared" si="19"/>
        <v>0</v>
      </c>
      <c r="I116" s="1">
        <f t="shared" si="19"/>
        <v>0</v>
      </c>
      <c r="J116" s="1">
        <f t="shared" si="19"/>
        <v>0</v>
      </c>
      <c r="K116" s="1">
        <f t="shared" si="19"/>
        <v>0</v>
      </c>
      <c r="L116" s="1">
        <f t="shared" si="19"/>
        <v>0</v>
      </c>
      <c r="M116" s="1" t="s">
        <v>1192</v>
      </c>
      <c r="N116" s="1" t="s">
        <v>1196</v>
      </c>
      <c r="O116" s="1" t="s">
        <v>1189</v>
      </c>
    </row>
    <row r="117" spans="1:20">
      <c r="A117" s="1" t="s">
        <v>977</v>
      </c>
      <c r="B117" s="1" t="s">
        <v>1065</v>
      </c>
      <c r="C117" s="1">
        <f t="shared" si="16"/>
        <v>3</v>
      </c>
      <c r="D117" s="1">
        <f t="shared" si="17"/>
        <v>3</v>
      </c>
      <c r="E117" s="1">
        <f t="shared" si="19"/>
        <v>0</v>
      </c>
      <c r="F117" s="1">
        <f t="shared" si="19"/>
        <v>0</v>
      </c>
      <c r="G117" s="1">
        <f t="shared" si="19"/>
        <v>0</v>
      </c>
      <c r="H117" s="1">
        <f t="shared" si="19"/>
        <v>0</v>
      </c>
      <c r="I117" s="1">
        <f t="shared" si="19"/>
        <v>0</v>
      </c>
      <c r="J117" s="1">
        <f t="shared" si="19"/>
        <v>0</v>
      </c>
      <c r="K117" s="1">
        <f t="shared" si="19"/>
        <v>0</v>
      </c>
      <c r="L117" s="1">
        <f t="shared" si="19"/>
        <v>0</v>
      </c>
      <c r="M117" s="1" t="s">
        <v>1310</v>
      </c>
      <c r="N117" s="1" t="s">
        <v>1260</v>
      </c>
      <c r="O117" s="1" t="s">
        <v>1311</v>
      </c>
    </row>
    <row r="118" spans="1:20">
      <c r="A118" s="1" t="s">
        <v>980</v>
      </c>
      <c r="B118" s="1" t="s">
        <v>1083</v>
      </c>
      <c r="C118" s="1">
        <f t="shared" si="16"/>
        <v>3</v>
      </c>
      <c r="D118" s="1">
        <f t="shared" si="17"/>
        <v>3</v>
      </c>
      <c r="E118" s="1">
        <f t="shared" si="19"/>
        <v>0</v>
      </c>
      <c r="F118" s="1">
        <f t="shared" si="19"/>
        <v>0</v>
      </c>
      <c r="G118" s="1">
        <f t="shared" si="19"/>
        <v>0</v>
      </c>
      <c r="H118" s="1">
        <f t="shared" si="19"/>
        <v>0</v>
      </c>
      <c r="I118" s="1">
        <f t="shared" si="19"/>
        <v>0</v>
      </c>
      <c r="J118" s="1">
        <f t="shared" si="19"/>
        <v>0</v>
      </c>
      <c r="K118" s="1">
        <f t="shared" si="19"/>
        <v>0</v>
      </c>
      <c r="L118" s="1">
        <f t="shared" si="19"/>
        <v>0</v>
      </c>
      <c r="M118" s="1" t="s">
        <v>262</v>
      </c>
      <c r="N118" s="1" t="s">
        <v>1483</v>
      </c>
      <c r="O118" s="1" t="s">
        <v>1480</v>
      </c>
    </row>
    <row r="119" spans="1:20">
      <c r="A119" s="1" t="s">
        <v>984</v>
      </c>
      <c r="B119" s="1" t="s">
        <v>1111</v>
      </c>
      <c r="C119" s="1">
        <f t="shared" si="16"/>
        <v>3</v>
      </c>
      <c r="D119" s="1">
        <f t="shared" si="17"/>
        <v>3</v>
      </c>
      <c r="E119" s="1">
        <f t="shared" si="19"/>
        <v>0</v>
      </c>
      <c r="F119" s="1">
        <f t="shared" si="19"/>
        <v>0</v>
      </c>
      <c r="G119" s="1">
        <f t="shared" si="19"/>
        <v>0</v>
      </c>
      <c r="H119" s="1">
        <f t="shared" si="19"/>
        <v>0</v>
      </c>
      <c r="I119" s="1">
        <f t="shared" si="19"/>
        <v>0</v>
      </c>
      <c r="J119" s="1">
        <f t="shared" si="19"/>
        <v>0</v>
      </c>
      <c r="K119" s="1">
        <f t="shared" si="19"/>
        <v>0</v>
      </c>
      <c r="L119" s="1">
        <f t="shared" si="19"/>
        <v>0</v>
      </c>
      <c r="M119" s="1" t="s">
        <v>1227</v>
      </c>
      <c r="N119" s="1" t="s">
        <v>1257</v>
      </c>
      <c r="O119" s="1" t="s">
        <v>1220</v>
      </c>
    </row>
    <row r="120" spans="1:20">
      <c r="A120" s="1" t="s">
        <v>985</v>
      </c>
      <c r="B120" s="1" t="s">
        <v>1116</v>
      </c>
      <c r="C120" s="1">
        <f t="shared" si="16"/>
        <v>3</v>
      </c>
      <c r="D120" s="1">
        <f t="shared" si="17"/>
        <v>3</v>
      </c>
      <c r="E120" s="1">
        <f t="shared" si="19"/>
        <v>0</v>
      </c>
      <c r="F120" s="1">
        <f t="shared" si="19"/>
        <v>0</v>
      </c>
      <c r="G120" s="1">
        <f t="shared" si="19"/>
        <v>0</v>
      </c>
      <c r="H120" s="1">
        <f t="shared" si="19"/>
        <v>0</v>
      </c>
      <c r="I120" s="1">
        <f t="shared" si="19"/>
        <v>0</v>
      </c>
      <c r="J120" s="1">
        <f t="shared" si="19"/>
        <v>0</v>
      </c>
      <c r="K120" s="1">
        <f t="shared" si="19"/>
        <v>0</v>
      </c>
      <c r="L120" s="1">
        <f t="shared" si="19"/>
        <v>0</v>
      </c>
      <c r="M120" s="1" t="s">
        <v>1224</v>
      </c>
      <c r="N120" s="1" t="s">
        <v>1431</v>
      </c>
      <c r="O120" s="1" t="s">
        <v>1189</v>
      </c>
    </row>
    <row r="121" spans="1:20">
      <c r="A121" s="1" t="s">
        <v>985</v>
      </c>
      <c r="B121" s="1" t="s">
        <v>1121</v>
      </c>
      <c r="C121" s="1">
        <f t="shared" si="16"/>
        <v>3</v>
      </c>
      <c r="D121" s="1">
        <f t="shared" si="17"/>
        <v>3</v>
      </c>
      <c r="E121" s="1">
        <f t="shared" si="19"/>
        <v>0</v>
      </c>
      <c r="F121" s="1">
        <f t="shared" si="19"/>
        <v>0</v>
      </c>
      <c r="G121" s="1">
        <f t="shared" si="19"/>
        <v>0</v>
      </c>
      <c r="H121" s="1">
        <f t="shared" si="19"/>
        <v>0</v>
      </c>
      <c r="I121" s="1">
        <f t="shared" si="19"/>
        <v>0</v>
      </c>
      <c r="J121" s="1">
        <f t="shared" si="19"/>
        <v>0</v>
      </c>
      <c r="K121" s="1">
        <f t="shared" si="19"/>
        <v>0</v>
      </c>
      <c r="L121" s="1">
        <f t="shared" si="19"/>
        <v>0</v>
      </c>
      <c r="M121" s="1" t="s">
        <v>1188</v>
      </c>
      <c r="N121" s="1" t="s">
        <v>1223</v>
      </c>
      <c r="O121" s="1" t="s">
        <v>1150</v>
      </c>
    </row>
    <row r="122" spans="1:20">
      <c r="A122" s="1" t="s">
        <v>987</v>
      </c>
      <c r="B122" s="1" t="s">
        <v>1135</v>
      </c>
      <c r="C122" s="1">
        <f t="shared" si="16"/>
        <v>3</v>
      </c>
      <c r="D122" s="1">
        <f t="shared" si="17"/>
        <v>3</v>
      </c>
      <c r="E122" s="1">
        <f t="shared" ref="E122:L131" si="20">_xlfn.XLOOKUP(E$1,$M122:$AB122,$M122:$AB122,0,0)</f>
        <v>0</v>
      </c>
      <c r="F122" s="1">
        <f t="shared" si="20"/>
        <v>0</v>
      </c>
      <c r="G122" s="1">
        <f t="shared" si="20"/>
        <v>0</v>
      </c>
      <c r="H122" s="1">
        <f t="shared" si="20"/>
        <v>0</v>
      </c>
      <c r="I122" s="1">
        <f t="shared" si="20"/>
        <v>0</v>
      </c>
      <c r="J122" s="1">
        <f t="shared" si="20"/>
        <v>0</v>
      </c>
      <c r="K122" s="1">
        <f t="shared" si="20"/>
        <v>0</v>
      </c>
      <c r="L122" s="1">
        <f t="shared" si="20"/>
        <v>0</v>
      </c>
      <c r="M122" s="1" t="s">
        <v>1463</v>
      </c>
      <c r="N122" s="1" t="s">
        <v>1464</v>
      </c>
      <c r="O122" s="1" t="s">
        <v>1275</v>
      </c>
    </row>
    <row r="123" spans="1:20">
      <c r="A123" s="1" t="s">
        <v>970</v>
      </c>
      <c r="B123" s="1" t="s">
        <v>1001</v>
      </c>
      <c r="C123" s="1">
        <f t="shared" si="16"/>
        <v>4</v>
      </c>
      <c r="D123" s="1">
        <f t="shared" si="17"/>
        <v>4</v>
      </c>
      <c r="E123" s="1">
        <f t="shared" si="20"/>
        <v>0</v>
      </c>
      <c r="F123" s="1">
        <f t="shared" si="20"/>
        <v>0</v>
      </c>
      <c r="G123" s="1">
        <f t="shared" si="20"/>
        <v>0</v>
      </c>
      <c r="H123" s="1">
        <f t="shared" si="20"/>
        <v>0</v>
      </c>
      <c r="I123" s="1">
        <f t="shared" si="20"/>
        <v>0</v>
      </c>
      <c r="J123" s="1">
        <f t="shared" si="20"/>
        <v>0</v>
      </c>
      <c r="K123" s="1">
        <f t="shared" si="20"/>
        <v>0</v>
      </c>
      <c r="L123" s="1">
        <f t="shared" si="20"/>
        <v>0</v>
      </c>
      <c r="M123" s="1" t="s">
        <v>1191</v>
      </c>
      <c r="N123" s="1" t="s">
        <v>1192</v>
      </c>
      <c r="O123" s="1" t="s">
        <v>1190</v>
      </c>
      <c r="P123" s="1" t="s">
        <v>1189</v>
      </c>
    </row>
    <row r="124" spans="1:20">
      <c r="A124" s="1" t="s">
        <v>972</v>
      </c>
      <c r="B124" s="1" t="s">
        <v>1018</v>
      </c>
      <c r="C124" s="1">
        <f t="shared" si="16"/>
        <v>4</v>
      </c>
      <c r="D124" s="1">
        <f t="shared" si="17"/>
        <v>4</v>
      </c>
      <c r="E124" s="1">
        <f t="shared" si="20"/>
        <v>0</v>
      </c>
      <c r="F124" s="1">
        <f t="shared" si="20"/>
        <v>0</v>
      </c>
      <c r="G124" s="1">
        <f t="shared" si="20"/>
        <v>0</v>
      </c>
      <c r="H124" s="1">
        <f t="shared" si="20"/>
        <v>0</v>
      </c>
      <c r="I124" s="1">
        <f t="shared" si="20"/>
        <v>0</v>
      </c>
      <c r="J124" s="1">
        <f t="shared" si="20"/>
        <v>0</v>
      </c>
      <c r="K124" s="1">
        <f t="shared" si="20"/>
        <v>0</v>
      </c>
      <c r="L124" s="1">
        <f t="shared" si="20"/>
        <v>0</v>
      </c>
      <c r="M124" s="1" t="s">
        <v>1217</v>
      </c>
      <c r="N124" s="1" t="s">
        <v>1154</v>
      </c>
      <c r="O124" s="1" t="s">
        <v>1193</v>
      </c>
      <c r="P124" s="1" t="s">
        <v>1222</v>
      </c>
    </row>
    <row r="125" spans="1:20">
      <c r="A125" s="1" t="s">
        <v>972</v>
      </c>
      <c r="B125" s="1" t="s">
        <v>1019</v>
      </c>
      <c r="C125" s="1">
        <f t="shared" si="16"/>
        <v>4</v>
      </c>
      <c r="D125" s="1">
        <f t="shared" si="17"/>
        <v>4</v>
      </c>
      <c r="E125" s="1">
        <f t="shared" si="20"/>
        <v>0</v>
      </c>
      <c r="F125" s="1">
        <f t="shared" si="20"/>
        <v>0</v>
      </c>
      <c r="G125" s="1">
        <f t="shared" si="20"/>
        <v>0</v>
      </c>
      <c r="H125" s="1">
        <f t="shared" si="20"/>
        <v>0</v>
      </c>
      <c r="I125" s="1">
        <f t="shared" si="20"/>
        <v>0</v>
      </c>
      <c r="J125" s="1">
        <f t="shared" si="20"/>
        <v>0</v>
      </c>
      <c r="K125" s="1">
        <f t="shared" si="20"/>
        <v>0</v>
      </c>
      <c r="L125" s="1">
        <f t="shared" si="20"/>
        <v>0</v>
      </c>
      <c r="M125" s="1" t="s">
        <v>1224</v>
      </c>
      <c r="N125" s="1" t="s">
        <v>1155</v>
      </c>
      <c r="O125" s="1" t="s">
        <v>1213</v>
      </c>
      <c r="P125" s="1" t="s">
        <v>1223</v>
      </c>
    </row>
    <row r="126" spans="1:20">
      <c r="A126" s="1" t="s">
        <v>972</v>
      </c>
      <c r="B126" s="1" t="s">
        <v>1023</v>
      </c>
      <c r="C126" s="1">
        <f t="shared" si="16"/>
        <v>4</v>
      </c>
      <c r="D126" s="1">
        <f t="shared" si="17"/>
        <v>4</v>
      </c>
      <c r="E126" s="1">
        <f t="shared" si="20"/>
        <v>0</v>
      </c>
      <c r="F126" s="1">
        <f t="shared" si="20"/>
        <v>0</v>
      </c>
      <c r="G126" s="1">
        <f t="shared" si="20"/>
        <v>0</v>
      </c>
      <c r="H126" s="1">
        <f t="shared" si="20"/>
        <v>0</v>
      </c>
      <c r="I126" s="1">
        <f t="shared" si="20"/>
        <v>0</v>
      </c>
      <c r="J126" s="1">
        <f t="shared" si="20"/>
        <v>0</v>
      </c>
      <c r="K126" s="1">
        <f t="shared" si="20"/>
        <v>0</v>
      </c>
      <c r="L126" s="1">
        <f t="shared" si="20"/>
        <v>0</v>
      </c>
      <c r="M126" s="1" t="s">
        <v>1170</v>
      </c>
      <c r="N126" s="1" t="s">
        <v>1154</v>
      </c>
      <c r="O126" s="1" t="s">
        <v>1241</v>
      </c>
      <c r="P126" s="1" t="s">
        <v>1476</v>
      </c>
    </row>
    <row r="127" spans="1:20">
      <c r="A127" s="1" t="s">
        <v>972</v>
      </c>
      <c r="B127" s="1" t="s">
        <v>1026</v>
      </c>
      <c r="C127" s="1">
        <f t="shared" si="16"/>
        <v>4</v>
      </c>
      <c r="D127" s="1">
        <f t="shared" si="17"/>
        <v>4</v>
      </c>
      <c r="E127" s="1">
        <f t="shared" si="20"/>
        <v>0</v>
      </c>
      <c r="F127" s="1">
        <f t="shared" si="20"/>
        <v>0</v>
      </c>
      <c r="G127" s="1">
        <f t="shared" si="20"/>
        <v>0</v>
      </c>
      <c r="H127" s="1">
        <f t="shared" si="20"/>
        <v>0</v>
      </c>
      <c r="I127" s="1">
        <f t="shared" si="20"/>
        <v>0</v>
      </c>
      <c r="J127" s="1">
        <f t="shared" si="20"/>
        <v>0</v>
      </c>
      <c r="K127" s="1">
        <f t="shared" si="20"/>
        <v>0</v>
      </c>
      <c r="L127" s="1">
        <f t="shared" si="20"/>
        <v>0</v>
      </c>
      <c r="M127" s="1" t="s">
        <v>1246</v>
      </c>
      <c r="N127" s="1" t="s">
        <v>1245</v>
      </c>
      <c r="O127" s="1" t="s">
        <v>1194</v>
      </c>
      <c r="P127" s="1" t="s">
        <v>1247</v>
      </c>
    </row>
    <row r="128" spans="1:20">
      <c r="A128" s="1" t="s">
        <v>972</v>
      </c>
      <c r="B128" s="1" t="s">
        <v>1031</v>
      </c>
      <c r="C128" s="1">
        <f t="shared" si="16"/>
        <v>4</v>
      </c>
      <c r="D128" s="1">
        <f t="shared" si="17"/>
        <v>4</v>
      </c>
      <c r="E128" s="1">
        <f t="shared" si="20"/>
        <v>0</v>
      </c>
      <c r="F128" s="1">
        <f t="shared" si="20"/>
        <v>0</v>
      </c>
      <c r="G128" s="1">
        <f t="shared" si="20"/>
        <v>0</v>
      </c>
      <c r="H128" s="1">
        <f t="shared" si="20"/>
        <v>0</v>
      </c>
      <c r="I128" s="1">
        <f t="shared" si="20"/>
        <v>0</v>
      </c>
      <c r="J128" s="1">
        <f t="shared" si="20"/>
        <v>0</v>
      </c>
      <c r="K128" s="1">
        <f t="shared" si="20"/>
        <v>0</v>
      </c>
      <c r="L128" s="1">
        <f t="shared" si="20"/>
        <v>0</v>
      </c>
      <c r="M128" s="1" t="s">
        <v>1255</v>
      </c>
      <c r="N128" s="1" t="s">
        <v>1213</v>
      </c>
      <c r="O128" s="1" t="s">
        <v>1223</v>
      </c>
      <c r="P128" s="1" t="s">
        <v>1254</v>
      </c>
    </row>
    <row r="129" spans="1:19">
      <c r="A129" s="1" t="s">
        <v>973</v>
      </c>
      <c r="B129" s="1" t="s">
        <v>1034</v>
      </c>
      <c r="C129" s="1">
        <f t="shared" si="16"/>
        <v>4</v>
      </c>
      <c r="D129" s="1">
        <f t="shared" si="17"/>
        <v>4</v>
      </c>
      <c r="E129" s="1">
        <f t="shared" si="20"/>
        <v>0</v>
      </c>
      <c r="F129" s="1">
        <f t="shared" si="20"/>
        <v>0</v>
      </c>
      <c r="G129" s="1">
        <f t="shared" si="20"/>
        <v>0</v>
      </c>
      <c r="H129" s="1">
        <f t="shared" si="20"/>
        <v>0</v>
      </c>
      <c r="I129" s="1">
        <f t="shared" si="20"/>
        <v>0</v>
      </c>
      <c r="J129" s="1">
        <f t="shared" si="20"/>
        <v>0</v>
      </c>
      <c r="K129" s="1">
        <f t="shared" si="20"/>
        <v>0</v>
      </c>
      <c r="L129" s="1">
        <f t="shared" si="20"/>
        <v>0</v>
      </c>
      <c r="M129" s="1" t="s">
        <v>1261</v>
      </c>
      <c r="N129" s="1" t="s">
        <v>1263</v>
      </c>
      <c r="O129" s="1" t="s">
        <v>1190</v>
      </c>
      <c r="P129" s="1" t="s">
        <v>1262</v>
      </c>
    </row>
    <row r="130" spans="1:19">
      <c r="A130" s="1" t="s">
        <v>981</v>
      </c>
      <c r="B130" s="1" t="s">
        <v>1097</v>
      </c>
      <c r="C130" s="1">
        <f t="shared" ref="C130:C158" si="21">D130-COUNTIF(E130:L130,"&lt;&gt;0")</f>
        <v>4</v>
      </c>
      <c r="D130" s="1">
        <f t="shared" ref="D130:D158" si="22">COUNTA(M130:AB130)</f>
        <v>4</v>
      </c>
      <c r="E130" s="1">
        <f t="shared" si="20"/>
        <v>0</v>
      </c>
      <c r="F130" s="1">
        <f t="shared" si="20"/>
        <v>0</v>
      </c>
      <c r="G130" s="1">
        <f t="shared" si="20"/>
        <v>0</v>
      </c>
      <c r="H130" s="1">
        <f t="shared" si="20"/>
        <v>0</v>
      </c>
      <c r="I130" s="1">
        <f t="shared" si="20"/>
        <v>0</v>
      </c>
      <c r="J130" s="1">
        <f t="shared" si="20"/>
        <v>0</v>
      </c>
      <c r="K130" s="1">
        <f t="shared" si="20"/>
        <v>0</v>
      </c>
      <c r="L130" s="1">
        <f t="shared" si="20"/>
        <v>0</v>
      </c>
      <c r="M130" s="1" t="s">
        <v>1171</v>
      </c>
      <c r="N130" s="1" t="s">
        <v>1379</v>
      </c>
      <c r="O130" s="1" t="s">
        <v>1377</v>
      </c>
      <c r="P130" s="1" t="s">
        <v>1378</v>
      </c>
    </row>
    <row r="131" spans="1:19">
      <c r="A131" s="1" t="s">
        <v>983</v>
      </c>
      <c r="B131" s="1" t="s">
        <v>1102</v>
      </c>
      <c r="C131" s="1">
        <f t="shared" si="21"/>
        <v>4</v>
      </c>
      <c r="D131" s="1">
        <f t="shared" si="22"/>
        <v>4</v>
      </c>
      <c r="E131" s="1">
        <f t="shared" si="20"/>
        <v>0</v>
      </c>
      <c r="F131" s="1">
        <f t="shared" si="20"/>
        <v>0</v>
      </c>
      <c r="G131" s="1">
        <f t="shared" si="20"/>
        <v>0</v>
      </c>
      <c r="H131" s="1">
        <f t="shared" si="20"/>
        <v>0</v>
      </c>
      <c r="I131" s="1">
        <f t="shared" si="20"/>
        <v>0</v>
      </c>
      <c r="J131" s="1">
        <f t="shared" si="20"/>
        <v>0</v>
      </c>
      <c r="K131" s="1">
        <f t="shared" si="20"/>
        <v>0</v>
      </c>
      <c r="L131" s="1">
        <f t="shared" si="20"/>
        <v>0</v>
      </c>
      <c r="M131" s="1" t="s">
        <v>1392</v>
      </c>
      <c r="N131" s="1" t="s">
        <v>1390</v>
      </c>
      <c r="O131" s="1" t="s">
        <v>1230</v>
      </c>
      <c r="P131" s="1" t="s">
        <v>1391</v>
      </c>
    </row>
    <row r="132" spans="1:19">
      <c r="A132" s="1" t="s">
        <v>970</v>
      </c>
      <c r="B132" s="1" t="s">
        <v>1002</v>
      </c>
      <c r="C132" s="1">
        <f t="shared" si="21"/>
        <v>5</v>
      </c>
      <c r="D132" s="1">
        <f t="shared" si="22"/>
        <v>5</v>
      </c>
      <c r="E132" s="1">
        <f t="shared" ref="E132:L141" si="23">_xlfn.XLOOKUP(E$1,$M132:$AB132,$M132:$AB132,0,0)</f>
        <v>0</v>
      </c>
      <c r="F132" s="1">
        <f t="shared" si="23"/>
        <v>0</v>
      </c>
      <c r="G132" s="1">
        <f t="shared" si="23"/>
        <v>0</v>
      </c>
      <c r="H132" s="1">
        <f t="shared" si="23"/>
        <v>0</v>
      </c>
      <c r="I132" s="1">
        <f t="shared" si="23"/>
        <v>0</v>
      </c>
      <c r="J132" s="1">
        <f t="shared" si="23"/>
        <v>0</v>
      </c>
      <c r="K132" s="1">
        <f t="shared" si="23"/>
        <v>0</v>
      </c>
      <c r="L132" s="1">
        <f t="shared" si="23"/>
        <v>0</v>
      </c>
      <c r="M132" s="1" t="s">
        <v>1194</v>
      </c>
      <c r="N132" s="1" t="s">
        <v>1193</v>
      </c>
      <c r="O132" s="1" t="s">
        <v>1192</v>
      </c>
      <c r="P132" s="1" t="s">
        <v>1195</v>
      </c>
      <c r="Q132" s="1" t="s">
        <v>1189</v>
      </c>
    </row>
    <row r="133" spans="1:19">
      <c r="A133" s="1" t="s">
        <v>972</v>
      </c>
      <c r="B133" s="1" t="s">
        <v>1028</v>
      </c>
      <c r="C133" s="1">
        <f t="shared" si="21"/>
        <v>5</v>
      </c>
      <c r="D133" s="1">
        <f t="shared" si="22"/>
        <v>5</v>
      </c>
      <c r="E133" s="1">
        <f t="shared" si="23"/>
        <v>0</v>
      </c>
      <c r="F133" s="1">
        <f t="shared" si="23"/>
        <v>0</v>
      </c>
      <c r="G133" s="1">
        <f t="shared" si="23"/>
        <v>0</v>
      </c>
      <c r="H133" s="1">
        <f t="shared" si="23"/>
        <v>0</v>
      </c>
      <c r="I133" s="1">
        <f t="shared" si="23"/>
        <v>0</v>
      </c>
      <c r="J133" s="1">
        <f t="shared" si="23"/>
        <v>0</v>
      </c>
      <c r="K133" s="1">
        <f t="shared" si="23"/>
        <v>0</v>
      </c>
      <c r="L133" s="1">
        <f t="shared" si="23"/>
        <v>0</v>
      </c>
      <c r="M133" s="1" t="s">
        <v>1154</v>
      </c>
      <c r="N133" s="1" t="s">
        <v>1204</v>
      </c>
      <c r="O133" s="1" t="s">
        <v>1193</v>
      </c>
      <c r="P133" s="1" t="s">
        <v>1213</v>
      </c>
      <c r="Q133" s="1" t="s">
        <v>1250</v>
      </c>
    </row>
    <row r="134" spans="1:19">
      <c r="A134" s="1" t="s">
        <v>972</v>
      </c>
      <c r="B134" s="1" t="s">
        <v>1029</v>
      </c>
      <c r="C134" s="1">
        <f t="shared" si="21"/>
        <v>5</v>
      </c>
      <c r="D134" s="1">
        <f t="shared" si="22"/>
        <v>5</v>
      </c>
      <c r="E134" s="1">
        <f t="shared" si="23"/>
        <v>0</v>
      </c>
      <c r="F134" s="1">
        <f t="shared" si="23"/>
        <v>0</v>
      </c>
      <c r="G134" s="1">
        <f t="shared" si="23"/>
        <v>0</v>
      </c>
      <c r="H134" s="1">
        <f t="shared" si="23"/>
        <v>0</v>
      </c>
      <c r="I134" s="1">
        <f t="shared" si="23"/>
        <v>0</v>
      </c>
      <c r="J134" s="1">
        <f t="shared" si="23"/>
        <v>0</v>
      </c>
      <c r="K134" s="1">
        <f t="shared" si="23"/>
        <v>0</v>
      </c>
      <c r="L134" s="1">
        <f t="shared" si="23"/>
        <v>0</v>
      </c>
      <c r="M134" s="1" t="s">
        <v>1214</v>
      </c>
      <c r="N134" s="1" t="s">
        <v>1251</v>
      </c>
      <c r="O134" s="1" t="s">
        <v>1160</v>
      </c>
      <c r="P134" s="1" t="s">
        <v>1201</v>
      </c>
      <c r="Q134" s="1" t="s">
        <v>1220</v>
      </c>
    </row>
    <row r="135" spans="1:19">
      <c r="A135" s="1" t="s">
        <v>972</v>
      </c>
      <c r="B135" s="1" t="s">
        <v>1032</v>
      </c>
      <c r="C135" s="1">
        <f t="shared" si="21"/>
        <v>5</v>
      </c>
      <c r="D135" s="1">
        <f t="shared" si="22"/>
        <v>5</v>
      </c>
      <c r="E135" s="1">
        <f t="shared" si="23"/>
        <v>0</v>
      </c>
      <c r="F135" s="1">
        <f t="shared" si="23"/>
        <v>0</v>
      </c>
      <c r="G135" s="1">
        <f t="shared" si="23"/>
        <v>0</v>
      </c>
      <c r="H135" s="1">
        <f t="shared" si="23"/>
        <v>0</v>
      </c>
      <c r="I135" s="1">
        <f t="shared" si="23"/>
        <v>0</v>
      </c>
      <c r="J135" s="1">
        <f t="shared" si="23"/>
        <v>0</v>
      </c>
      <c r="K135" s="1">
        <f t="shared" si="23"/>
        <v>0</v>
      </c>
      <c r="L135" s="1">
        <f t="shared" si="23"/>
        <v>0</v>
      </c>
      <c r="M135" s="1" t="s">
        <v>1214</v>
      </c>
      <c r="N135" s="1" t="s">
        <v>1257</v>
      </c>
      <c r="O135" s="1" t="s">
        <v>1207</v>
      </c>
      <c r="P135" s="1" t="s">
        <v>1258</v>
      </c>
      <c r="Q135" s="1" t="s">
        <v>1256</v>
      </c>
    </row>
    <row r="136" spans="1:19">
      <c r="A136" s="1" t="s">
        <v>977</v>
      </c>
      <c r="B136" s="1" t="s">
        <v>1072</v>
      </c>
      <c r="C136" s="1">
        <f t="shared" si="21"/>
        <v>5</v>
      </c>
      <c r="D136" s="1">
        <f t="shared" si="22"/>
        <v>5</v>
      </c>
      <c r="E136" s="1">
        <f t="shared" si="23"/>
        <v>0</v>
      </c>
      <c r="F136" s="1">
        <f t="shared" si="23"/>
        <v>0</v>
      </c>
      <c r="G136" s="1">
        <f t="shared" si="23"/>
        <v>0</v>
      </c>
      <c r="H136" s="1">
        <f t="shared" si="23"/>
        <v>0</v>
      </c>
      <c r="I136" s="1">
        <f t="shared" si="23"/>
        <v>0</v>
      </c>
      <c r="J136" s="1">
        <f t="shared" si="23"/>
        <v>0</v>
      </c>
      <c r="K136" s="1">
        <f t="shared" si="23"/>
        <v>0</v>
      </c>
      <c r="L136" s="1">
        <f t="shared" si="23"/>
        <v>0</v>
      </c>
      <c r="M136" s="1" t="s">
        <v>1223</v>
      </c>
      <c r="N136" s="1" t="s">
        <v>1243</v>
      </c>
      <c r="O136" s="1" t="s">
        <v>1292</v>
      </c>
      <c r="P136" s="1" t="s">
        <v>1334</v>
      </c>
      <c r="Q136" s="1" t="s">
        <v>1335</v>
      </c>
    </row>
    <row r="137" spans="1:19">
      <c r="A137" s="1" t="s">
        <v>980</v>
      </c>
      <c r="B137" s="1" t="s">
        <v>1077</v>
      </c>
      <c r="C137" s="1">
        <f t="shared" si="21"/>
        <v>5</v>
      </c>
      <c r="D137" s="1">
        <f t="shared" si="22"/>
        <v>5</v>
      </c>
      <c r="E137" s="1">
        <f t="shared" si="23"/>
        <v>0</v>
      </c>
      <c r="F137" s="1">
        <f t="shared" si="23"/>
        <v>0</v>
      </c>
      <c r="G137" s="1">
        <f t="shared" si="23"/>
        <v>0</v>
      </c>
      <c r="H137" s="1">
        <f t="shared" si="23"/>
        <v>0</v>
      </c>
      <c r="I137" s="1">
        <f t="shared" si="23"/>
        <v>0</v>
      </c>
      <c r="J137" s="1">
        <f t="shared" si="23"/>
        <v>0</v>
      </c>
      <c r="K137" s="1">
        <f t="shared" si="23"/>
        <v>0</v>
      </c>
      <c r="L137" s="1">
        <f t="shared" si="23"/>
        <v>0</v>
      </c>
      <c r="M137" s="1" t="s">
        <v>1224</v>
      </c>
      <c r="N137" s="1" t="s">
        <v>1333</v>
      </c>
      <c r="O137" s="1" t="s">
        <v>1348</v>
      </c>
      <c r="P137" s="1" t="s">
        <v>1152</v>
      </c>
      <c r="Q137" s="1" t="s">
        <v>1150</v>
      </c>
    </row>
    <row r="138" spans="1:19">
      <c r="A138" s="1" t="s">
        <v>976</v>
      </c>
      <c r="B138" s="1" t="s">
        <v>1059</v>
      </c>
      <c r="C138" s="1">
        <f t="shared" si="21"/>
        <v>6</v>
      </c>
      <c r="D138" s="1">
        <f t="shared" si="22"/>
        <v>6</v>
      </c>
      <c r="E138" s="1">
        <f t="shared" si="23"/>
        <v>0</v>
      </c>
      <c r="F138" s="1">
        <f t="shared" si="23"/>
        <v>0</v>
      </c>
      <c r="G138" s="1">
        <f t="shared" si="23"/>
        <v>0</v>
      </c>
      <c r="H138" s="1">
        <f t="shared" si="23"/>
        <v>0</v>
      </c>
      <c r="I138" s="1">
        <f t="shared" si="23"/>
        <v>0</v>
      </c>
      <c r="J138" s="1">
        <f t="shared" si="23"/>
        <v>0</v>
      </c>
      <c r="K138" s="1">
        <f t="shared" si="23"/>
        <v>0</v>
      </c>
      <c r="L138" s="1">
        <f t="shared" si="23"/>
        <v>0</v>
      </c>
      <c r="M138" s="1" t="s">
        <v>1298</v>
      </c>
      <c r="N138" s="1" t="s">
        <v>1214</v>
      </c>
      <c r="O138" s="1" t="s">
        <v>1259</v>
      </c>
      <c r="P138" s="1" t="s">
        <v>1223</v>
      </c>
      <c r="Q138" s="1" t="s">
        <v>1297</v>
      </c>
      <c r="R138" s="1" t="s">
        <v>1200</v>
      </c>
    </row>
    <row r="139" spans="1:19">
      <c r="A139" s="1" t="s">
        <v>977</v>
      </c>
      <c r="B139" s="1" t="s">
        <v>1071</v>
      </c>
      <c r="C139" s="1">
        <f t="shared" si="21"/>
        <v>6</v>
      </c>
      <c r="D139" s="1">
        <f t="shared" si="22"/>
        <v>6</v>
      </c>
      <c r="E139" s="1">
        <f t="shared" si="23"/>
        <v>0</v>
      </c>
      <c r="F139" s="1">
        <f t="shared" si="23"/>
        <v>0</v>
      </c>
      <c r="G139" s="1">
        <f t="shared" si="23"/>
        <v>0</v>
      </c>
      <c r="H139" s="1">
        <f t="shared" si="23"/>
        <v>0</v>
      </c>
      <c r="I139" s="1">
        <f t="shared" si="23"/>
        <v>0</v>
      </c>
      <c r="J139" s="1">
        <f t="shared" si="23"/>
        <v>0</v>
      </c>
      <c r="K139" s="1">
        <f t="shared" si="23"/>
        <v>0</v>
      </c>
      <c r="L139" s="1">
        <f t="shared" si="23"/>
        <v>0</v>
      </c>
      <c r="M139" s="1" t="s">
        <v>1331</v>
      </c>
      <c r="N139" s="1" t="s">
        <v>1333</v>
      </c>
      <c r="O139" s="1" t="s">
        <v>1223</v>
      </c>
      <c r="P139" s="1" t="s">
        <v>1332</v>
      </c>
      <c r="Q139" s="1" t="s">
        <v>1330</v>
      </c>
      <c r="R139" s="1" t="s">
        <v>1211</v>
      </c>
    </row>
    <row r="140" spans="1:19">
      <c r="A140" s="1" t="s">
        <v>983</v>
      </c>
      <c r="B140" s="1" t="s">
        <v>1101</v>
      </c>
      <c r="C140" s="1">
        <f t="shared" si="21"/>
        <v>6</v>
      </c>
      <c r="D140" s="1">
        <f t="shared" si="22"/>
        <v>6</v>
      </c>
      <c r="E140" s="1">
        <f t="shared" si="23"/>
        <v>0</v>
      </c>
      <c r="F140" s="1">
        <f t="shared" si="23"/>
        <v>0</v>
      </c>
      <c r="G140" s="1">
        <f t="shared" si="23"/>
        <v>0</v>
      </c>
      <c r="H140" s="1">
        <f t="shared" si="23"/>
        <v>0</v>
      </c>
      <c r="I140" s="1">
        <f t="shared" si="23"/>
        <v>0</v>
      </c>
      <c r="J140" s="1">
        <f t="shared" si="23"/>
        <v>0</v>
      </c>
      <c r="K140" s="1">
        <f t="shared" si="23"/>
        <v>0</v>
      </c>
      <c r="L140" s="1">
        <f t="shared" si="23"/>
        <v>0</v>
      </c>
      <c r="M140" s="1" t="s">
        <v>1389</v>
      </c>
      <c r="N140" s="1" t="s">
        <v>1238</v>
      </c>
      <c r="O140" s="1" t="s">
        <v>1239</v>
      </c>
      <c r="P140" s="1" t="s">
        <v>1361</v>
      </c>
      <c r="Q140" s="1" t="s">
        <v>1387</v>
      </c>
      <c r="R140" s="1" t="s">
        <v>1388</v>
      </c>
    </row>
    <row r="141" spans="1:19">
      <c r="A141" s="1" t="s">
        <v>970</v>
      </c>
      <c r="B141" s="1" t="s">
        <v>1005</v>
      </c>
      <c r="C141" s="1">
        <f t="shared" si="21"/>
        <v>7</v>
      </c>
      <c r="D141" s="1">
        <f t="shared" si="22"/>
        <v>7</v>
      </c>
      <c r="E141" s="1">
        <f t="shared" si="23"/>
        <v>0</v>
      </c>
      <c r="F141" s="1">
        <f t="shared" si="23"/>
        <v>0</v>
      </c>
      <c r="G141" s="1">
        <f t="shared" si="23"/>
        <v>0</v>
      </c>
      <c r="H141" s="1">
        <f t="shared" si="23"/>
        <v>0</v>
      </c>
      <c r="I141" s="1">
        <f t="shared" si="23"/>
        <v>0</v>
      </c>
      <c r="J141" s="1">
        <f t="shared" si="23"/>
        <v>0</v>
      </c>
      <c r="K141" s="1">
        <f t="shared" si="23"/>
        <v>0</v>
      </c>
      <c r="L141" s="1">
        <f t="shared" si="23"/>
        <v>0</v>
      </c>
      <c r="M141" s="1" t="s">
        <v>1191</v>
      </c>
      <c r="N141" s="1" t="s">
        <v>1144</v>
      </c>
      <c r="O141" s="1" t="s">
        <v>1145</v>
      </c>
      <c r="P141" s="1" t="s">
        <v>1199</v>
      </c>
      <c r="Q141" s="1" t="s">
        <v>1190</v>
      </c>
      <c r="R141" s="1" t="s">
        <v>1200</v>
      </c>
      <c r="S141" s="1" t="s">
        <v>1189</v>
      </c>
    </row>
    <row r="142" spans="1:19">
      <c r="A142" s="1" t="s">
        <v>981</v>
      </c>
      <c r="B142" s="1" t="s">
        <v>1089</v>
      </c>
      <c r="C142" s="1">
        <f t="shared" si="21"/>
        <v>7</v>
      </c>
      <c r="D142" s="1">
        <f t="shared" si="22"/>
        <v>7</v>
      </c>
      <c r="E142" s="1">
        <f t="shared" ref="E142:L151" si="24">_xlfn.XLOOKUP(E$1,$M142:$AB142,$M142:$AB142,0,0)</f>
        <v>0</v>
      </c>
      <c r="F142" s="1">
        <f t="shared" si="24"/>
        <v>0</v>
      </c>
      <c r="G142" s="1">
        <f t="shared" si="24"/>
        <v>0</v>
      </c>
      <c r="H142" s="1">
        <f t="shared" si="24"/>
        <v>0</v>
      </c>
      <c r="I142" s="1">
        <f t="shared" si="24"/>
        <v>0</v>
      </c>
      <c r="J142" s="1">
        <f t="shared" si="24"/>
        <v>0</v>
      </c>
      <c r="K142" s="1">
        <f t="shared" si="24"/>
        <v>0</v>
      </c>
      <c r="L142" s="1">
        <f t="shared" si="24"/>
        <v>0</v>
      </c>
      <c r="M142" s="1" t="s">
        <v>1194</v>
      </c>
      <c r="N142" s="1" t="s">
        <v>1322</v>
      </c>
      <c r="O142" s="1" t="s">
        <v>1359</v>
      </c>
      <c r="P142" s="1" t="s">
        <v>1361</v>
      </c>
      <c r="Q142" s="1" t="s">
        <v>1152</v>
      </c>
      <c r="R142" s="1" t="s">
        <v>1232</v>
      </c>
      <c r="S142" s="1" t="s">
        <v>1360</v>
      </c>
    </row>
    <row r="143" spans="1:19">
      <c r="A143" s="1" t="s">
        <v>981</v>
      </c>
      <c r="B143" s="1" t="s">
        <v>1095</v>
      </c>
      <c r="C143" s="1">
        <f t="shared" si="21"/>
        <v>7</v>
      </c>
      <c r="D143" s="1">
        <f t="shared" si="22"/>
        <v>7</v>
      </c>
      <c r="E143" s="1">
        <f t="shared" si="24"/>
        <v>0</v>
      </c>
      <c r="F143" s="1">
        <f t="shared" si="24"/>
        <v>0</v>
      </c>
      <c r="G143" s="1">
        <f t="shared" si="24"/>
        <v>0</v>
      </c>
      <c r="H143" s="1">
        <f t="shared" si="24"/>
        <v>0</v>
      </c>
      <c r="I143" s="1">
        <f t="shared" si="24"/>
        <v>0</v>
      </c>
      <c r="J143" s="1">
        <f t="shared" si="24"/>
        <v>0</v>
      </c>
      <c r="K143" s="1">
        <f t="shared" si="24"/>
        <v>0</v>
      </c>
      <c r="L143" s="1">
        <f t="shared" si="24"/>
        <v>0</v>
      </c>
      <c r="M143" s="1" t="s">
        <v>1210</v>
      </c>
      <c r="N143" s="1" t="s">
        <v>1226</v>
      </c>
      <c r="O143" s="1" t="s">
        <v>1188</v>
      </c>
      <c r="P143" s="1" t="s">
        <v>1316</v>
      </c>
      <c r="Q143" s="1" t="s">
        <v>1370</v>
      </c>
      <c r="R143" s="1" t="s">
        <v>1369</v>
      </c>
      <c r="S143" s="1" t="s">
        <v>1371</v>
      </c>
    </row>
    <row r="144" spans="1:19">
      <c r="A144" s="1" t="s">
        <v>984</v>
      </c>
      <c r="B144" s="1" t="s">
        <v>1109</v>
      </c>
      <c r="C144" s="1">
        <f t="shared" si="21"/>
        <v>7</v>
      </c>
      <c r="D144" s="1">
        <f t="shared" si="22"/>
        <v>7</v>
      </c>
      <c r="E144" s="1">
        <f t="shared" si="24"/>
        <v>0</v>
      </c>
      <c r="F144" s="1">
        <f t="shared" si="24"/>
        <v>0</v>
      </c>
      <c r="G144" s="1">
        <f t="shared" si="24"/>
        <v>0</v>
      </c>
      <c r="H144" s="1">
        <f t="shared" si="24"/>
        <v>0</v>
      </c>
      <c r="I144" s="1">
        <f t="shared" si="24"/>
        <v>0</v>
      </c>
      <c r="J144" s="1">
        <f t="shared" si="24"/>
        <v>0</v>
      </c>
      <c r="K144" s="1">
        <f t="shared" si="24"/>
        <v>0</v>
      </c>
      <c r="L144" s="1">
        <f t="shared" si="24"/>
        <v>0</v>
      </c>
      <c r="M144" s="1" t="s">
        <v>1421</v>
      </c>
      <c r="N144" s="1" t="s">
        <v>1144</v>
      </c>
      <c r="O144" s="1" t="s">
        <v>1423</v>
      </c>
      <c r="P144" s="1" t="s">
        <v>1420</v>
      </c>
      <c r="Q144" s="1" t="s">
        <v>1302</v>
      </c>
      <c r="R144" s="1" t="s">
        <v>1175</v>
      </c>
      <c r="S144" s="1" t="s">
        <v>1422</v>
      </c>
    </row>
    <row r="145" spans="1:28">
      <c r="A145" s="1" t="s">
        <v>984</v>
      </c>
      <c r="B145" s="1" t="s">
        <v>1113</v>
      </c>
      <c r="C145" s="1">
        <f t="shared" si="21"/>
        <v>7</v>
      </c>
      <c r="D145" s="1">
        <f t="shared" si="22"/>
        <v>7</v>
      </c>
      <c r="E145" s="1">
        <f t="shared" si="24"/>
        <v>0</v>
      </c>
      <c r="F145" s="1">
        <f t="shared" si="24"/>
        <v>0</v>
      </c>
      <c r="G145" s="1">
        <f t="shared" si="24"/>
        <v>0</v>
      </c>
      <c r="H145" s="1">
        <f t="shared" si="24"/>
        <v>0</v>
      </c>
      <c r="I145" s="1">
        <f t="shared" si="24"/>
        <v>0</v>
      </c>
      <c r="J145" s="1">
        <f t="shared" si="24"/>
        <v>0</v>
      </c>
      <c r="K145" s="1">
        <f t="shared" si="24"/>
        <v>0</v>
      </c>
      <c r="L145" s="1">
        <f t="shared" si="24"/>
        <v>0</v>
      </c>
      <c r="M145" s="1" t="s">
        <v>1214</v>
      </c>
      <c r="N145" s="1" t="s">
        <v>1159</v>
      </c>
      <c r="O145" s="1" t="s">
        <v>1237</v>
      </c>
      <c r="P145" s="1" t="s">
        <v>1426</v>
      </c>
      <c r="Q145" s="1" t="s">
        <v>1322</v>
      </c>
      <c r="R145" s="1" t="s">
        <v>1282</v>
      </c>
      <c r="S145" s="1" t="s">
        <v>1179</v>
      </c>
    </row>
    <row r="146" spans="1:28">
      <c r="A146" s="1" t="s">
        <v>985</v>
      </c>
      <c r="B146" s="1" t="s">
        <v>1120</v>
      </c>
      <c r="C146" s="1">
        <f t="shared" si="21"/>
        <v>7</v>
      </c>
      <c r="D146" s="1">
        <f t="shared" si="22"/>
        <v>7</v>
      </c>
      <c r="E146" s="1">
        <f t="shared" si="24"/>
        <v>0</v>
      </c>
      <c r="F146" s="1">
        <f t="shared" si="24"/>
        <v>0</v>
      </c>
      <c r="G146" s="1">
        <f t="shared" si="24"/>
        <v>0</v>
      </c>
      <c r="H146" s="1">
        <f t="shared" si="24"/>
        <v>0</v>
      </c>
      <c r="I146" s="1">
        <f t="shared" si="24"/>
        <v>0</v>
      </c>
      <c r="J146" s="1">
        <f t="shared" si="24"/>
        <v>0</v>
      </c>
      <c r="K146" s="1">
        <f t="shared" si="24"/>
        <v>0</v>
      </c>
      <c r="L146" s="1">
        <f t="shared" si="24"/>
        <v>0</v>
      </c>
      <c r="M146" s="1" t="s">
        <v>1444</v>
      </c>
      <c r="N146" s="1" t="s">
        <v>1498</v>
      </c>
      <c r="O146" s="1" t="s">
        <v>1420</v>
      </c>
      <c r="P146" s="1" t="s">
        <v>1440</v>
      </c>
      <c r="Q146" s="1" t="s">
        <v>1448</v>
      </c>
      <c r="R146" s="1" t="s">
        <v>1447</v>
      </c>
      <c r="S146" s="1" t="s">
        <v>1445</v>
      </c>
    </row>
    <row r="147" spans="1:28">
      <c r="A147" s="1" t="s">
        <v>976</v>
      </c>
      <c r="B147" s="1" t="s">
        <v>1058</v>
      </c>
      <c r="C147" s="1">
        <f t="shared" si="21"/>
        <v>8</v>
      </c>
      <c r="D147" s="1">
        <f t="shared" si="22"/>
        <v>8</v>
      </c>
      <c r="E147" s="1">
        <f t="shared" si="24"/>
        <v>0</v>
      </c>
      <c r="F147" s="1">
        <f t="shared" si="24"/>
        <v>0</v>
      </c>
      <c r="G147" s="1">
        <f t="shared" si="24"/>
        <v>0</v>
      </c>
      <c r="H147" s="1">
        <f t="shared" si="24"/>
        <v>0</v>
      </c>
      <c r="I147" s="1">
        <f t="shared" si="24"/>
        <v>0</v>
      </c>
      <c r="J147" s="1">
        <f t="shared" si="24"/>
        <v>0</v>
      </c>
      <c r="K147" s="1">
        <f t="shared" si="24"/>
        <v>0</v>
      </c>
      <c r="L147" s="1">
        <f t="shared" si="24"/>
        <v>0</v>
      </c>
      <c r="M147" s="1" t="s">
        <v>1296</v>
      </c>
      <c r="N147" s="1" t="s">
        <v>1290</v>
      </c>
      <c r="O147" s="1" t="s">
        <v>1274</v>
      </c>
      <c r="P147" s="1" t="s">
        <v>1291</v>
      </c>
      <c r="Q147" s="1" t="s">
        <v>1295</v>
      </c>
      <c r="R147" s="1" t="s">
        <v>1293</v>
      </c>
      <c r="S147" s="1" t="s">
        <v>1294</v>
      </c>
      <c r="T147" s="1" t="s">
        <v>1292</v>
      </c>
    </row>
    <row r="148" spans="1:28">
      <c r="A148" s="1" t="s">
        <v>980</v>
      </c>
      <c r="B148" s="1" t="s">
        <v>1080</v>
      </c>
      <c r="C148" s="1">
        <f t="shared" si="21"/>
        <v>8</v>
      </c>
      <c r="D148" s="1">
        <f t="shared" si="22"/>
        <v>8</v>
      </c>
      <c r="E148" s="1">
        <f t="shared" si="24"/>
        <v>0</v>
      </c>
      <c r="F148" s="1">
        <f t="shared" si="24"/>
        <v>0</v>
      </c>
      <c r="G148" s="1">
        <f t="shared" si="24"/>
        <v>0</v>
      </c>
      <c r="H148" s="1">
        <f t="shared" si="24"/>
        <v>0</v>
      </c>
      <c r="I148" s="1">
        <f t="shared" si="24"/>
        <v>0</v>
      </c>
      <c r="J148" s="1">
        <f t="shared" si="24"/>
        <v>0</v>
      </c>
      <c r="K148" s="1">
        <f t="shared" si="24"/>
        <v>0</v>
      </c>
      <c r="L148" s="1">
        <f t="shared" si="24"/>
        <v>0</v>
      </c>
      <c r="M148" s="1" t="s">
        <v>1352</v>
      </c>
      <c r="N148" s="1" t="s">
        <v>1351</v>
      </c>
      <c r="O148" s="1" t="s">
        <v>1353</v>
      </c>
      <c r="P148" s="1" t="s">
        <v>1187</v>
      </c>
      <c r="Q148" s="1" t="s">
        <v>1354</v>
      </c>
      <c r="R148" s="1" t="s">
        <v>1300</v>
      </c>
      <c r="S148" s="1" t="s">
        <v>1252</v>
      </c>
      <c r="T148" s="1" t="s">
        <v>1355</v>
      </c>
    </row>
    <row r="149" spans="1:28">
      <c r="A149" s="1" t="s">
        <v>972</v>
      </c>
      <c r="B149" s="1" t="s">
        <v>1017</v>
      </c>
      <c r="C149" s="1">
        <f t="shared" si="21"/>
        <v>9</v>
      </c>
      <c r="D149" s="1">
        <f t="shared" si="22"/>
        <v>9</v>
      </c>
      <c r="E149" s="1">
        <f t="shared" si="24"/>
        <v>0</v>
      </c>
      <c r="F149" s="1">
        <f t="shared" si="24"/>
        <v>0</v>
      </c>
      <c r="G149" s="1">
        <f t="shared" si="24"/>
        <v>0</v>
      </c>
      <c r="H149" s="1">
        <f t="shared" si="24"/>
        <v>0</v>
      </c>
      <c r="I149" s="1">
        <f t="shared" si="24"/>
        <v>0</v>
      </c>
      <c r="J149" s="1">
        <f t="shared" si="24"/>
        <v>0</v>
      </c>
      <c r="K149" s="1">
        <f t="shared" si="24"/>
        <v>0</v>
      </c>
      <c r="L149" s="1">
        <f t="shared" si="24"/>
        <v>0</v>
      </c>
      <c r="M149" s="1" t="s">
        <v>1219</v>
      </c>
      <c r="N149" s="1" t="s">
        <v>1218</v>
      </c>
      <c r="O149" s="1" t="s">
        <v>1168</v>
      </c>
      <c r="P149" s="1" t="s">
        <v>1217</v>
      </c>
      <c r="Q149" s="1" t="s">
        <v>1154</v>
      </c>
      <c r="R149" s="1" t="s">
        <v>1220</v>
      </c>
      <c r="S149" s="1" t="s">
        <v>1167</v>
      </c>
      <c r="T149" s="1" t="s">
        <v>1213</v>
      </c>
      <c r="U149" s="1" t="s">
        <v>1221</v>
      </c>
    </row>
    <row r="150" spans="1:28">
      <c r="A150" s="1" t="s">
        <v>988</v>
      </c>
      <c r="B150" s="1" t="s">
        <v>1139</v>
      </c>
      <c r="C150" s="1">
        <f t="shared" si="21"/>
        <v>9</v>
      </c>
      <c r="D150" s="1">
        <f t="shared" si="22"/>
        <v>9</v>
      </c>
      <c r="E150" s="1">
        <f t="shared" si="24"/>
        <v>0</v>
      </c>
      <c r="F150" s="1">
        <f t="shared" si="24"/>
        <v>0</v>
      </c>
      <c r="G150" s="1">
        <f t="shared" si="24"/>
        <v>0</v>
      </c>
      <c r="H150" s="1">
        <f t="shared" si="24"/>
        <v>0</v>
      </c>
      <c r="I150" s="1">
        <f t="shared" si="24"/>
        <v>0</v>
      </c>
      <c r="J150" s="1">
        <f t="shared" si="24"/>
        <v>0</v>
      </c>
      <c r="K150" s="1">
        <f t="shared" si="24"/>
        <v>0</v>
      </c>
      <c r="L150" s="1">
        <f t="shared" si="24"/>
        <v>0</v>
      </c>
      <c r="M150" s="1" t="s">
        <v>1181</v>
      </c>
      <c r="N150" s="1" t="s">
        <v>1333</v>
      </c>
      <c r="O150" s="1" t="s">
        <v>1353</v>
      </c>
      <c r="P150" s="1" t="s">
        <v>1482</v>
      </c>
      <c r="Q150" s="1" t="s">
        <v>1213</v>
      </c>
      <c r="R150" s="1" t="s">
        <v>1223</v>
      </c>
      <c r="S150" s="1" t="s">
        <v>1481</v>
      </c>
      <c r="T150" s="1" t="s">
        <v>1189</v>
      </c>
      <c r="U150" s="1" t="s">
        <v>1166</v>
      </c>
    </row>
    <row r="151" spans="1:28">
      <c r="A151" s="1" t="s">
        <v>983</v>
      </c>
      <c r="B151" s="1" t="s">
        <v>1106</v>
      </c>
      <c r="C151" s="1">
        <f t="shared" si="21"/>
        <v>11</v>
      </c>
      <c r="D151" s="1">
        <f t="shared" si="22"/>
        <v>11</v>
      </c>
      <c r="E151" s="1">
        <f t="shared" si="24"/>
        <v>0</v>
      </c>
      <c r="F151" s="1">
        <f t="shared" si="24"/>
        <v>0</v>
      </c>
      <c r="G151" s="1">
        <f t="shared" si="24"/>
        <v>0</v>
      </c>
      <c r="H151" s="1">
        <f t="shared" si="24"/>
        <v>0</v>
      </c>
      <c r="I151" s="1">
        <f t="shared" si="24"/>
        <v>0</v>
      </c>
      <c r="J151" s="1">
        <f t="shared" si="24"/>
        <v>0</v>
      </c>
      <c r="K151" s="1">
        <f t="shared" si="24"/>
        <v>0</v>
      </c>
      <c r="L151" s="1">
        <f t="shared" si="24"/>
        <v>0</v>
      </c>
      <c r="M151" s="1" t="s">
        <v>1418</v>
      </c>
      <c r="N151" s="1" t="s">
        <v>1415</v>
      </c>
      <c r="O151" s="1" t="s">
        <v>1417</v>
      </c>
      <c r="P151" s="1" t="s">
        <v>1412</v>
      </c>
      <c r="Q151" s="1" t="s">
        <v>1414</v>
      </c>
      <c r="R151" s="1" t="s">
        <v>1277</v>
      </c>
      <c r="S151" s="1" t="s">
        <v>1416</v>
      </c>
      <c r="T151" s="1" t="s">
        <v>1155</v>
      </c>
      <c r="U151" s="1" t="s">
        <v>1413</v>
      </c>
      <c r="V151" s="1" t="s">
        <v>1305</v>
      </c>
      <c r="W151" s="1" t="s">
        <v>1294</v>
      </c>
    </row>
    <row r="152" spans="1:28">
      <c r="A152" s="1" t="s">
        <v>985</v>
      </c>
      <c r="B152" s="1" t="s">
        <v>1119</v>
      </c>
      <c r="C152" s="1">
        <f t="shared" si="21"/>
        <v>11</v>
      </c>
      <c r="D152" s="1">
        <f t="shared" si="22"/>
        <v>11</v>
      </c>
      <c r="E152" s="1">
        <f t="shared" ref="E152:L158" si="25">_xlfn.XLOOKUP(E$1,$M152:$AB152,$M152:$AB152,0,0)</f>
        <v>0</v>
      </c>
      <c r="F152" s="1">
        <f t="shared" si="25"/>
        <v>0</v>
      </c>
      <c r="G152" s="1">
        <f t="shared" si="25"/>
        <v>0</v>
      </c>
      <c r="H152" s="1">
        <f t="shared" si="25"/>
        <v>0</v>
      </c>
      <c r="I152" s="1">
        <f t="shared" si="25"/>
        <v>0</v>
      </c>
      <c r="J152" s="1">
        <f t="shared" si="25"/>
        <v>0</v>
      </c>
      <c r="K152" s="1">
        <f t="shared" si="25"/>
        <v>0</v>
      </c>
      <c r="L152" s="1">
        <f t="shared" si="25"/>
        <v>0</v>
      </c>
      <c r="M152" s="1" t="s">
        <v>1440</v>
      </c>
      <c r="N152" s="1" t="s">
        <v>1443</v>
      </c>
      <c r="O152" s="1" t="s">
        <v>1241</v>
      </c>
      <c r="P152" s="1" t="s">
        <v>1438</v>
      </c>
      <c r="Q152" s="1" t="s">
        <v>1167</v>
      </c>
      <c r="R152" s="1" t="s">
        <v>1430</v>
      </c>
      <c r="S152" s="1" t="s">
        <v>1437</v>
      </c>
      <c r="T152" s="1" t="s">
        <v>1439</v>
      </c>
      <c r="U152" s="1" t="s">
        <v>1441</v>
      </c>
      <c r="V152" s="1" t="s">
        <v>1169</v>
      </c>
      <c r="W152" s="1" t="s">
        <v>1442</v>
      </c>
    </row>
    <row r="153" spans="1:28">
      <c r="A153" s="1" t="s">
        <v>972</v>
      </c>
      <c r="B153" s="1" t="s">
        <v>1021</v>
      </c>
      <c r="C153" s="1">
        <f t="shared" si="21"/>
        <v>14</v>
      </c>
      <c r="D153" s="1">
        <f t="shared" si="22"/>
        <v>14</v>
      </c>
      <c r="E153" s="1">
        <f t="shared" si="25"/>
        <v>0</v>
      </c>
      <c r="F153" s="1">
        <f t="shared" si="25"/>
        <v>0</v>
      </c>
      <c r="G153" s="1">
        <f t="shared" si="25"/>
        <v>0</v>
      </c>
      <c r="H153" s="1">
        <f t="shared" si="25"/>
        <v>0</v>
      </c>
      <c r="I153" s="1">
        <f t="shared" si="25"/>
        <v>0</v>
      </c>
      <c r="J153" s="1">
        <f t="shared" si="25"/>
        <v>0</v>
      </c>
      <c r="K153" s="1">
        <f t="shared" si="25"/>
        <v>0</v>
      </c>
      <c r="L153" s="1">
        <f t="shared" si="25"/>
        <v>0</v>
      </c>
      <c r="M153" s="1" t="s">
        <v>1227</v>
      </c>
      <c r="N153" s="1" t="s">
        <v>1204</v>
      </c>
      <c r="O153" s="1" t="s">
        <v>1173</v>
      </c>
      <c r="P153" s="1" t="s">
        <v>1229</v>
      </c>
      <c r="Q153" s="1" t="s">
        <v>1167</v>
      </c>
      <c r="R153" s="1" t="s">
        <v>1161</v>
      </c>
      <c r="S153" s="1" t="s">
        <v>1230</v>
      </c>
      <c r="T153" s="1" t="s">
        <v>1155</v>
      </c>
      <c r="U153" s="1" t="s">
        <v>1213</v>
      </c>
      <c r="V153" s="1" t="s">
        <v>1166</v>
      </c>
      <c r="W153" s="1" t="s">
        <v>1178</v>
      </c>
      <c r="X153" s="1" t="s">
        <v>1169</v>
      </c>
      <c r="Y153" s="1" t="s">
        <v>1204</v>
      </c>
      <c r="Z153" s="1" t="s">
        <v>1227</v>
      </c>
    </row>
    <row r="154" spans="1:28">
      <c r="A154" s="1" t="s">
        <v>972</v>
      </c>
      <c r="B154" s="1" t="s">
        <v>1022</v>
      </c>
      <c r="C154" s="1">
        <f t="shared" si="21"/>
        <v>14</v>
      </c>
      <c r="D154" s="1">
        <f t="shared" si="22"/>
        <v>14</v>
      </c>
      <c r="E154" s="1">
        <f t="shared" si="25"/>
        <v>0</v>
      </c>
      <c r="F154" s="1">
        <f t="shared" si="25"/>
        <v>0</v>
      </c>
      <c r="G154" s="1">
        <f t="shared" si="25"/>
        <v>0</v>
      </c>
      <c r="H154" s="1">
        <f t="shared" si="25"/>
        <v>0</v>
      </c>
      <c r="I154" s="1">
        <f t="shared" si="25"/>
        <v>0</v>
      </c>
      <c r="J154" s="1">
        <f t="shared" si="25"/>
        <v>0</v>
      </c>
      <c r="K154" s="1">
        <f t="shared" si="25"/>
        <v>0</v>
      </c>
      <c r="L154" s="1">
        <f t="shared" si="25"/>
        <v>0</v>
      </c>
      <c r="M154" s="1" t="s">
        <v>1235</v>
      </c>
      <c r="N154" s="1" t="s">
        <v>1237</v>
      </c>
      <c r="O154" s="1" t="s">
        <v>1233</v>
      </c>
      <c r="P154" s="1" t="s">
        <v>1238</v>
      </c>
      <c r="Q154" s="1" t="s">
        <v>1239</v>
      </c>
      <c r="R154" s="1" t="s">
        <v>1484</v>
      </c>
      <c r="S154" s="1" t="s">
        <v>1240</v>
      </c>
      <c r="T154" s="1" t="s">
        <v>1149</v>
      </c>
      <c r="U154" s="1" t="s">
        <v>1236</v>
      </c>
      <c r="V154" s="1" t="s">
        <v>1232</v>
      </c>
      <c r="W154" s="1" t="s">
        <v>255</v>
      </c>
      <c r="X154" s="1" t="s">
        <v>1231</v>
      </c>
      <c r="Y154" s="1" t="s">
        <v>1237</v>
      </c>
      <c r="Z154" s="1" t="s">
        <v>1235</v>
      </c>
    </row>
    <row r="155" spans="1:28">
      <c r="A155" s="1" t="s">
        <v>978</v>
      </c>
      <c r="B155" s="1" t="s">
        <v>1074</v>
      </c>
      <c r="C155" s="1">
        <f t="shared" si="21"/>
        <v>14</v>
      </c>
      <c r="D155" s="1">
        <f t="shared" si="22"/>
        <v>14</v>
      </c>
      <c r="E155" s="1">
        <f t="shared" si="25"/>
        <v>0</v>
      </c>
      <c r="F155" s="1">
        <f t="shared" si="25"/>
        <v>0</v>
      </c>
      <c r="G155" s="1">
        <f t="shared" si="25"/>
        <v>0</v>
      </c>
      <c r="H155" s="1">
        <f t="shared" si="25"/>
        <v>0</v>
      </c>
      <c r="I155" s="1">
        <f t="shared" si="25"/>
        <v>0</v>
      </c>
      <c r="J155" s="1">
        <f t="shared" si="25"/>
        <v>0</v>
      </c>
      <c r="K155" s="1">
        <f t="shared" si="25"/>
        <v>0</v>
      </c>
      <c r="L155" s="1">
        <f t="shared" si="25"/>
        <v>0</v>
      </c>
      <c r="M155" s="1" t="s">
        <v>1336</v>
      </c>
      <c r="N155" s="1" t="s">
        <v>1286</v>
      </c>
      <c r="O155" s="1" t="s">
        <v>1218</v>
      </c>
      <c r="P155" s="1" t="s">
        <v>1159</v>
      </c>
      <c r="Q155" s="1" t="s">
        <v>1337</v>
      </c>
      <c r="R155" s="1" t="s">
        <v>1285</v>
      </c>
      <c r="S155" s="1" t="s">
        <v>1154</v>
      </c>
      <c r="T155" s="1" t="s">
        <v>1216</v>
      </c>
      <c r="U155" s="1" t="s">
        <v>1161</v>
      </c>
      <c r="V155" s="1" t="s">
        <v>1221</v>
      </c>
      <c r="W155" s="1" t="s">
        <v>1338</v>
      </c>
      <c r="X155" s="1" t="s">
        <v>1250</v>
      </c>
      <c r="Y155" s="1" t="s">
        <v>1286</v>
      </c>
      <c r="Z155" s="1" t="s">
        <v>1336</v>
      </c>
    </row>
    <row r="156" spans="1:28">
      <c r="A156" s="1" t="s">
        <v>979</v>
      </c>
      <c r="B156" s="1" t="s">
        <v>1076</v>
      </c>
      <c r="C156" s="1">
        <f t="shared" si="21"/>
        <v>14</v>
      </c>
      <c r="D156" s="1">
        <f t="shared" si="22"/>
        <v>14</v>
      </c>
      <c r="E156" s="1">
        <f t="shared" si="25"/>
        <v>0</v>
      </c>
      <c r="F156" s="1">
        <f t="shared" si="25"/>
        <v>0</v>
      </c>
      <c r="G156" s="1">
        <f t="shared" si="25"/>
        <v>0</v>
      </c>
      <c r="H156" s="1">
        <f t="shared" si="25"/>
        <v>0</v>
      </c>
      <c r="I156" s="1">
        <f t="shared" si="25"/>
        <v>0</v>
      </c>
      <c r="J156" s="1">
        <f t="shared" si="25"/>
        <v>0</v>
      </c>
      <c r="K156" s="1">
        <f t="shared" si="25"/>
        <v>0</v>
      </c>
      <c r="L156" s="1">
        <f t="shared" si="25"/>
        <v>0</v>
      </c>
      <c r="M156" s="1" t="s">
        <v>1336</v>
      </c>
      <c r="N156" s="1" t="s">
        <v>1333</v>
      </c>
      <c r="O156" s="1" t="s">
        <v>1217</v>
      </c>
      <c r="P156" s="1" t="s">
        <v>1347</v>
      </c>
      <c r="Q156" s="1" t="s">
        <v>1344</v>
      </c>
      <c r="R156" s="1" t="s">
        <v>1238</v>
      </c>
      <c r="S156" s="1" t="s">
        <v>1339</v>
      </c>
      <c r="T156" s="1" t="s">
        <v>1340</v>
      </c>
      <c r="U156" s="1" t="s">
        <v>1345</v>
      </c>
      <c r="V156" s="1" t="s">
        <v>1343</v>
      </c>
      <c r="W156" s="1" t="s">
        <v>1346</v>
      </c>
      <c r="X156" s="1" t="s">
        <v>1341</v>
      </c>
      <c r="Y156" s="1" t="s">
        <v>1333</v>
      </c>
      <c r="Z156" s="1" t="s">
        <v>1336</v>
      </c>
    </row>
    <row r="157" spans="1:28">
      <c r="A157" s="1" t="s">
        <v>975</v>
      </c>
      <c r="B157" s="1" t="s">
        <v>1047</v>
      </c>
      <c r="C157" s="1">
        <f t="shared" si="21"/>
        <v>16</v>
      </c>
      <c r="D157" s="1">
        <f t="shared" si="22"/>
        <v>16</v>
      </c>
      <c r="E157" s="1">
        <f t="shared" si="25"/>
        <v>0</v>
      </c>
      <c r="F157" s="1">
        <f t="shared" si="25"/>
        <v>0</v>
      </c>
      <c r="G157" s="1">
        <f t="shared" si="25"/>
        <v>0</v>
      </c>
      <c r="H157" s="1">
        <f t="shared" si="25"/>
        <v>0</v>
      </c>
      <c r="I157" s="1">
        <f t="shared" si="25"/>
        <v>0</v>
      </c>
      <c r="J157" s="1">
        <f t="shared" si="25"/>
        <v>0</v>
      </c>
      <c r="K157" s="1">
        <f t="shared" si="25"/>
        <v>0</v>
      </c>
      <c r="L157" s="1">
        <f t="shared" si="25"/>
        <v>0</v>
      </c>
      <c r="M157" s="1" t="s">
        <v>1277</v>
      </c>
      <c r="N157" s="1" t="s">
        <v>1278</v>
      </c>
      <c r="O157" s="1" t="s">
        <v>1142</v>
      </c>
      <c r="P157" s="1" t="s">
        <v>1167</v>
      </c>
      <c r="Q157" s="1" t="s">
        <v>1161</v>
      </c>
      <c r="R157" s="1" t="s">
        <v>1162</v>
      </c>
      <c r="S157" s="1" t="s">
        <v>1155</v>
      </c>
      <c r="T157" s="1" t="s">
        <v>1209</v>
      </c>
      <c r="U157" s="1" t="s">
        <v>1149</v>
      </c>
      <c r="V157" s="1" t="s">
        <v>1189</v>
      </c>
      <c r="W157" s="1" t="s">
        <v>1152</v>
      </c>
      <c r="X157" s="1" t="s">
        <v>1169</v>
      </c>
      <c r="Y157" s="1" t="s">
        <v>1167</v>
      </c>
      <c r="Z157" s="1" t="s">
        <v>1142</v>
      </c>
      <c r="AA157" s="1" t="s">
        <v>1278</v>
      </c>
      <c r="AB157" s="1" t="s">
        <v>1277</v>
      </c>
    </row>
    <row r="158" spans="1:28">
      <c r="A158" s="1" t="s">
        <v>983</v>
      </c>
      <c r="B158" s="1" t="s">
        <v>1100</v>
      </c>
      <c r="C158" s="1">
        <f t="shared" si="21"/>
        <v>16</v>
      </c>
      <c r="D158" s="1">
        <f t="shared" si="22"/>
        <v>16</v>
      </c>
      <c r="E158" s="1">
        <f t="shared" si="25"/>
        <v>0</v>
      </c>
      <c r="F158" s="1">
        <f t="shared" si="25"/>
        <v>0</v>
      </c>
      <c r="G158" s="1">
        <f t="shared" si="25"/>
        <v>0</v>
      </c>
      <c r="H158" s="1">
        <f t="shared" si="25"/>
        <v>0</v>
      </c>
      <c r="I158" s="1">
        <f t="shared" si="25"/>
        <v>0</v>
      </c>
      <c r="J158" s="1">
        <f t="shared" si="25"/>
        <v>0</v>
      </c>
      <c r="K158" s="1">
        <f t="shared" si="25"/>
        <v>0</v>
      </c>
      <c r="L158" s="1">
        <f t="shared" si="25"/>
        <v>0</v>
      </c>
      <c r="M158" s="1" t="s">
        <v>1151</v>
      </c>
      <c r="N158" s="1" t="s">
        <v>1251</v>
      </c>
      <c r="O158" s="1" t="s">
        <v>1160</v>
      </c>
      <c r="P158" s="1" t="s">
        <v>1154</v>
      </c>
      <c r="Q158" s="1" t="s">
        <v>1382</v>
      </c>
      <c r="R158" s="1" t="s">
        <v>1155</v>
      </c>
      <c r="S158" s="1" t="s">
        <v>1149</v>
      </c>
      <c r="T158" s="1" t="s">
        <v>1152</v>
      </c>
      <c r="U158" s="1" t="s">
        <v>1385</v>
      </c>
      <c r="V158" s="1" t="s">
        <v>1386</v>
      </c>
      <c r="W158" s="1" t="s">
        <v>1153</v>
      </c>
      <c r="X158" s="1" t="s">
        <v>1383</v>
      </c>
      <c r="Y158" s="1" t="s">
        <v>1154</v>
      </c>
      <c r="Z158" s="1" t="s">
        <v>1160</v>
      </c>
      <c r="AA158" s="1" t="s">
        <v>1251</v>
      </c>
      <c r="AB158" s="1" t="s">
        <v>1151</v>
      </c>
    </row>
  </sheetData>
  <sortState xmlns:xlrd2="http://schemas.microsoft.com/office/spreadsheetml/2017/richdata2" ref="A2:AR158">
    <sortCondition descending="1" ref="J2:J158"/>
    <sortCondition descending="1" ref="L2:L158"/>
    <sortCondition descending="1" ref="K2:K158"/>
    <sortCondition descending="1" ref="E2:E158"/>
    <sortCondition descending="1" ref="F2:F158"/>
    <sortCondition descending="1" ref="H2:H158"/>
    <sortCondition descending="1" ref="G2:G158"/>
    <sortCondition descending="1" ref="I2:I158"/>
  </sortState>
  <phoneticPr fontId="1" type="noConversion"/>
  <conditionalFormatting sqref="M1:AB66 M68:AB1048576 V67:AB67 M67:T67">
    <cfRule type="cellIs" dxfId="15" priority="2" operator="equal">
      <formula>$E$1</formula>
    </cfRule>
    <cfRule type="cellIs" dxfId="14" priority="3" operator="equal">
      <formula>$F$1</formula>
    </cfRule>
    <cfRule type="cellIs" dxfId="13" priority="4" operator="equal">
      <formula>$G$1</formula>
    </cfRule>
    <cfRule type="cellIs" dxfId="12" priority="5" operator="equal">
      <formula>$H$1</formula>
    </cfRule>
    <cfRule type="cellIs" dxfId="11" priority="6" operator="equal">
      <formula>$I$1</formula>
    </cfRule>
    <cfRule type="cellIs" dxfId="10" priority="7" operator="equal">
      <formula>$J$1</formula>
    </cfRule>
    <cfRule type="cellIs" dxfId="9" priority="8" operator="equal">
      <formula>$K$1</formula>
    </cfRule>
    <cfRule type="cellIs" dxfId="8" priority="16" operator="equal">
      <formula>$L$1</formula>
    </cfRule>
  </conditionalFormatting>
  <conditionalFormatting sqref="E1:L1048576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30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A2BD6-DC40-4D44-ACB3-F77CB37F99CC}">
  <sheetPr codeName="Sheet9"/>
  <dimension ref="A1:I23"/>
  <sheetViews>
    <sheetView workbookViewId="0">
      <selection activeCell="D13" sqref="D13"/>
    </sheetView>
  </sheetViews>
  <sheetFormatPr defaultRowHeight="17.399999999999999"/>
  <cols>
    <col min="1" max="16384" width="8.6640625" style="1"/>
  </cols>
  <sheetData>
    <row r="1" spans="1:9">
      <c r="A1" s="1">
        <v>20</v>
      </c>
      <c r="B1" s="1" t="s">
        <v>737</v>
      </c>
      <c r="C1" s="1" t="s">
        <v>350</v>
      </c>
    </row>
    <row r="2" spans="1:9">
      <c r="A2" s="1">
        <v>20</v>
      </c>
      <c r="C2" s="1" t="s">
        <v>350</v>
      </c>
      <c r="D2" s="1" t="s">
        <v>739</v>
      </c>
    </row>
    <row r="3" spans="1:9">
      <c r="A3" s="1">
        <v>6</v>
      </c>
      <c r="E3" s="1" t="s">
        <v>729</v>
      </c>
      <c r="F3" s="1" t="s">
        <v>909</v>
      </c>
    </row>
    <row r="4" spans="1:9">
      <c r="A4" s="1">
        <v>18</v>
      </c>
      <c r="B4" s="1" t="s">
        <v>737</v>
      </c>
      <c r="C4" s="1">
        <f>_xlfn.XLOOKUP(C$1,$M4:$AB4,$M4:$AB4,0,0)</f>
        <v>0</v>
      </c>
      <c r="D4" s="1">
        <f>_xlfn.XLOOKUP(D$1,$M4:$AB4,$M4:$AB4,0,0)</f>
        <v>0</v>
      </c>
      <c r="E4" s="1">
        <f>_xlfn.XLOOKUP(E$1,$M4:$AB4,$M4:$AB4,0,0)</f>
        <v>0</v>
      </c>
      <c r="F4" s="1">
        <f>_xlfn.XLOOKUP(F$1,$M4:$AB4,$M4:$AB4,0,0)</f>
        <v>0</v>
      </c>
      <c r="G4" s="1" t="s">
        <v>101</v>
      </c>
    </row>
    <row r="5" spans="1:9">
      <c r="A5" s="1">
        <v>20</v>
      </c>
      <c r="B5" s="1" t="s">
        <v>737</v>
      </c>
      <c r="E5" s="1" t="s">
        <v>729</v>
      </c>
    </row>
    <row r="6" spans="1:9">
      <c r="A6" s="1">
        <v>18</v>
      </c>
      <c r="B6" s="1" t="s">
        <v>737</v>
      </c>
      <c r="D6" s="1" t="s">
        <v>739</v>
      </c>
    </row>
    <row r="7" spans="1:9">
      <c r="A7" s="1">
        <v>17</v>
      </c>
      <c r="B7" s="1" t="s">
        <v>737</v>
      </c>
      <c r="H7" s="1" t="s">
        <v>742</v>
      </c>
    </row>
    <row r="8" spans="1:9">
      <c r="A8" s="1">
        <v>13</v>
      </c>
      <c r="B8" s="1" t="s">
        <v>737</v>
      </c>
      <c r="I8" s="1" t="s">
        <v>734</v>
      </c>
    </row>
    <row r="10" spans="1:9">
      <c r="A10" s="1">
        <v>4</v>
      </c>
      <c r="G10" s="1" t="s">
        <v>101</v>
      </c>
      <c r="H10" s="1" t="s">
        <v>742</v>
      </c>
    </row>
    <row r="11" spans="1:9">
      <c r="A11" s="1">
        <v>12</v>
      </c>
      <c r="G11" s="1" t="s">
        <v>101</v>
      </c>
      <c r="I11" s="1" t="s">
        <v>734</v>
      </c>
    </row>
    <row r="21" spans="1:5">
      <c r="A21" s="1">
        <v>14</v>
      </c>
      <c r="B21" s="1" t="s">
        <v>737</v>
      </c>
      <c r="C21" s="1" t="s">
        <v>350</v>
      </c>
      <c r="D21" s="1" t="s">
        <v>739</v>
      </c>
    </row>
    <row r="22" spans="1:5">
      <c r="A22" s="1">
        <v>6</v>
      </c>
      <c r="C22" s="1" t="s">
        <v>350</v>
      </c>
      <c r="D22" s="1" t="s">
        <v>739</v>
      </c>
      <c r="E22" s="1" t="s">
        <v>729</v>
      </c>
    </row>
    <row r="23" spans="1:5">
      <c r="A23" s="1">
        <v>8</v>
      </c>
      <c r="B23" s="1" t="s">
        <v>737</v>
      </c>
      <c r="C23" s="1" t="s">
        <v>350</v>
      </c>
      <c r="E23" s="1" t="s">
        <v>729</v>
      </c>
    </row>
  </sheetData>
  <phoneticPr fontId="1" type="noConversion"/>
  <conditionalFormatting sqref="E3 E22:E23">
    <cfRule type="cellIs" dxfId="6" priority="6" operator="equal">
      <formula>0</formula>
    </cfRule>
  </conditionalFormatting>
  <conditionalFormatting sqref="C4:G4">
    <cfRule type="cellIs" dxfId="5" priority="4" operator="equal">
      <formula>0</formula>
    </cfRule>
  </conditionalFormatting>
  <conditionalFormatting sqref="E5">
    <cfRule type="cellIs" dxfId="4" priority="3" operator="equal">
      <formula>0</formula>
    </cfRule>
  </conditionalFormatting>
  <conditionalFormatting sqref="G10">
    <cfRule type="cellIs" dxfId="3" priority="2" operator="equal">
      <formula>0</formula>
    </cfRule>
  </conditionalFormatting>
  <conditionalFormatting sqref="G11">
    <cfRule type="cellIs" dxfId="2" priority="1" operator="equal">
      <formula>0</formula>
    </cfRule>
  </conditionalFormatting>
  <pageMargins left="0.7" right="0.7" top="0.75" bottom="0.75" header="0.3" footer="0.3"/>
  <pageSetup paperSize="9"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5C9E1-C721-C24A-BD5D-4F0EC42F1FDB}">
  <sheetPr codeName="Sheet8"/>
  <dimension ref="A1:D1137"/>
  <sheetViews>
    <sheetView zoomScaleNormal="100" workbookViewId="0">
      <selection activeCell="B2" sqref="B2:C3"/>
    </sheetView>
  </sheetViews>
  <sheetFormatPr defaultColWidth="10.75" defaultRowHeight="17.399999999999999"/>
  <cols>
    <col min="1" max="1" width="8.58203125" style="1" bestFit="1" customWidth="1"/>
    <col min="2" max="3" width="10.75" style="1"/>
    <col min="4" max="4" width="10.6640625" customWidth="1"/>
    <col min="5" max="16384" width="10.75" style="1"/>
  </cols>
  <sheetData>
    <row r="1" spans="1:3">
      <c r="A1" s="1" t="s">
        <v>1487</v>
      </c>
      <c r="B1" s="1" t="s">
        <v>0</v>
      </c>
      <c r="C1" s="1" t="s">
        <v>1488</v>
      </c>
    </row>
    <row r="2" spans="1:3">
      <c r="A2" s="1" t="s">
        <v>1142</v>
      </c>
      <c r="B2" s="1" t="s">
        <v>1156</v>
      </c>
      <c r="C2" s="1">
        <f t="shared" ref="C2:C65" si="0">COUNTIFS(A:A,B2)</f>
        <v>80</v>
      </c>
    </row>
    <row r="3" spans="1:3">
      <c r="A3" s="1" t="s">
        <v>1143</v>
      </c>
      <c r="B3" s="1" t="s">
        <v>1183</v>
      </c>
      <c r="C3" s="1">
        <f t="shared" si="0"/>
        <v>35</v>
      </c>
    </row>
    <row r="4" spans="1:3">
      <c r="A4" s="1" t="s">
        <v>1144</v>
      </c>
      <c r="B4" s="1" t="s">
        <v>1198</v>
      </c>
      <c r="C4" s="1">
        <f t="shared" si="0"/>
        <v>30</v>
      </c>
    </row>
    <row r="5" spans="1:3">
      <c r="A5" s="1" t="s">
        <v>1156</v>
      </c>
      <c r="B5" s="1" t="s">
        <v>1184</v>
      </c>
      <c r="C5" s="1">
        <f t="shared" si="0"/>
        <v>29</v>
      </c>
    </row>
    <row r="6" spans="1:3">
      <c r="A6" s="1" t="s">
        <v>1143</v>
      </c>
      <c r="B6" s="1" t="s">
        <v>1146</v>
      </c>
      <c r="C6" s="1">
        <f t="shared" si="0"/>
        <v>28</v>
      </c>
    </row>
    <row r="7" spans="1:3">
      <c r="A7" s="1" t="s">
        <v>1145</v>
      </c>
      <c r="B7" s="1" t="s">
        <v>1147</v>
      </c>
      <c r="C7" s="1">
        <f t="shared" si="0"/>
        <v>25</v>
      </c>
    </row>
    <row r="8" spans="1:3">
      <c r="A8" s="1" t="s">
        <v>1146</v>
      </c>
      <c r="B8" s="1" t="s">
        <v>1212</v>
      </c>
      <c r="C8" s="1">
        <f t="shared" si="0"/>
        <v>23</v>
      </c>
    </row>
    <row r="9" spans="1:3">
      <c r="A9" s="1" t="s">
        <v>1147</v>
      </c>
      <c r="B9" s="1" t="s">
        <v>1155</v>
      </c>
      <c r="C9" s="1">
        <f t="shared" si="0"/>
        <v>20</v>
      </c>
    </row>
    <row r="10" spans="1:3">
      <c r="A10" s="1" t="s">
        <v>1156</v>
      </c>
      <c r="B10" s="1" t="s">
        <v>1158</v>
      </c>
      <c r="C10" s="1">
        <f t="shared" si="0"/>
        <v>19</v>
      </c>
    </row>
    <row r="11" spans="1:3">
      <c r="A11" s="1" t="s">
        <v>1148</v>
      </c>
      <c r="B11" s="1" t="s">
        <v>1161</v>
      </c>
      <c r="C11" s="1">
        <f t="shared" si="0"/>
        <v>17</v>
      </c>
    </row>
    <row r="12" spans="1:3">
      <c r="A12" s="1" t="s">
        <v>1149</v>
      </c>
      <c r="B12" s="1" t="s">
        <v>1152</v>
      </c>
      <c r="C12" s="1">
        <f t="shared" si="0"/>
        <v>16</v>
      </c>
    </row>
    <row r="13" spans="1:3">
      <c r="A13" s="1" t="s">
        <v>1150</v>
      </c>
      <c r="B13" s="1" t="s">
        <v>1213</v>
      </c>
      <c r="C13" s="1">
        <f t="shared" si="0"/>
        <v>16</v>
      </c>
    </row>
    <row r="14" spans="1:3">
      <c r="A14" s="1" t="s">
        <v>1151</v>
      </c>
      <c r="B14" s="1" t="s">
        <v>1143</v>
      </c>
      <c r="C14" s="1">
        <f t="shared" si="0"/>
        <v>15</v>
      </c>
    </row>
    <row r="15" spans="1:3">
      <c r="A15" s="1" t="s">
        <v>1152</v>
      </c>
      <c r="B15" s="1" t="s">
        <v>1166</v>
      </c>
      <c r="C15" s="1">
        <f t="shared" si="0"/>
        <v>15</v>
      </c>
    </row>
    <row r="16" spans="1:3">
      <c r="A16" s="1" t="s">
        <v>1153</v>
      </c>
      <c r="B16" s="1" t="s">
        <v>1189</v>
      </c>
      <c r="C16" s="1">
        <f t="shared" si="0"/>
        <v>15</v>
      </c>
    </row>
    <row r="17" spans="1:3">
      <c r="A17" s="1" t="s">
        <v>1154</v>
      </c>
      <c r="B17" s="1" t="s">
        <v>1145</v>
      </c>
      <c r="C17" s="1">
        <f t="shared" si="0"/>
        <v>14</v>
      </c>
    </row>
    <row r="18" spans="1:3">
      <c r="A18" s="1" t="s">
        <v>1155</v>
      </c>
      <c r="B18" s="1" t="s">
        <v>1154</v>
      </c>
      <c r="C18" s="1">
        <f t="shared" si="0"/>
        <v>14</v>
      </c>
    </row>
    <row r="19" spans="1:3">
      <c r="A19" s="1" t="s">
        <v>1156</v>
      </c>
      <c r="B19" s="1" t="s">
        <v>1178</v>
      </c>
      <c r="C19" s="1">
        <f t="shared" si="0"/>
        <v>13</v>
      </c>
    </row>
    <row r="20" spans="1:3">
      <c r="A20" s="1" t="s">
        <v>1142</v>
      </c>
      <c r="B20" s="1" t="s">
        <v>1144</v>
      </c>
      <c r="C20" s="1">
        <f t="shared" si="0"/>
        <v>11</v>
      </c>
    </row>
    <row r="21" spans="1:3">
      <c r="A21" s="1" t="s">
        <v>1145</v>
      </c>
      <c r="B21" s="1" t="s">
        <v>1211</v>
      </c>
      <c r="C21" s="1">
        <f t="shared" si="0"/>
        <v>11</v>
      </c>
    </row>
    <row r="22" spans="1:3">
      <c r="A22" s="1" t="s">
        <v>1151</v>
      </c>
      <c r="B22" s="1" t="s">
        <v>1220</v>
      </c>
      <c r="C22" s="1">
        <f t="shared" si="0"/>
        <v>11</v>
      </c>
    </row>
    <row r="23" spans="1:3">
      <c r="A23" s="1" t="s">
        <v>1157</v>
      </c>
      <c r="B23" s="1" t="s">
        <v>1149</v>
      </c>
      <c r="C23" s="1">
        <f t="shared" si="0"/>
        <v>10</v>
      </c>
    </row>
    <row r="24" spans="1:3">
      <c r="A24" s="1" t="s">
        <v>1156</v>
      </c>
      <c r="B24" s="1" t="s">
        <v>1157</v>
      </c>
      <c r="C24" s="1">
        <f t="shared" si="0"/>
        <v>10</v>
      </c>
    </row>
    <row r="25" spans="1:3">
      <c r="A25" s="1" t="s">
        <v>1143</v>
      </c>
      <c r="B25" s="1" t="s">
        <v>1160</v>
      </c>
      <c r="C25" s="1">
        <f t="shared" si="0"/>
        <v>10</v>
      </c>
    </row>
    <row r="26" spans="1:3">
      <c r="A26" s="1" t="s">
        <v>1158</v>
      </c>
      <c r="B26" s="1" t="s">
        <v>1169</v>
      </c>
      <c r="C26" s="1">
        <f t="shared" si="0"/>
        <v>10</v>
      </c>
    </row>
    <row r="27" spans="1:3">
      <c r="A27" s="1" t="s">
        <v>1159</v>
      </c>
      <c r="B27" s="1" t="s">
        <v>1190</v>
      </c>
      <c r="C27" s="1">
        <f t="shared" si="0"/>
        <v>10</v>
      </c>
    </row>
    <row r="28" spans="1:3">
      <c r="A28" s="1" t="s">
        <v>1142</v>
      </c>
      <c r="B28" s="1" t="s">
        <v>1159</v>
      </c>
      <c r="C28" s="1">
        <f t="shared" si="0"/>
        <v>9</v>
      </c>
    </row>
    <row r="29" spans="1:3">
      <c r="A29" s="1" t="s">
        <v>1143</v>
      </c>
      <c r="B29" s="1" t="s">
        <v>1223</v>
      </c>
      <c r="C29" s="1">
        <f t="shared" si="0"/>
        <v>9</v>
      </c>
    </row>
    <row r="30" spans="1:3">
      <c r="A30" s="1" t="s">
        <v>1156</v>
      </c>
      <c r="B30" s="1" t="s">
        <v>1151</v>
      </c>
      <c r="C30" s="1">
        <f t="shared" si="0"/>
        <v>8</v>
      </c>
    </row>
    <row r="31" spans="1:3">
      <c r="A31" s="1" t="s">
        <v>1144</v>
      </c>
      <c r="B31" s="1" t="s">
        <v>1167</v>
      </c>
      <c r="C31" s="1">
        <f t="shared" si="0"/>
        <v>8</v>
      </c>
    </row>
    <row r="32" spans="1:3">
      <c r="A32" s="1" t="s">
        <v>1160</v>
      </c>
      <c r="B32" s="1" t="s">
        <v>1181</v>
      </c>
      <c r="C32" s="1">
        <f t="shared" si="0"/>
        <v>8</v>
      </c>
    </row>
    <row r="33" spans="1:3">
      <c r="A33" s="1" t="s">
        <v>1146</v>
      </c>
      <c r="B33" s="1" t="s">
        <v>1187</v>
      </c>
      <c r="C33" s="1">
        <f t="shared" si="0"/>
        <v>8</v>
      </c>
    </row>
    <row r="34" spans="1:3">
      <c r="A34" s="1" t="s">
        <v>1147</v>
      </c>
      <c r="B34" s="1" t="s">
        <v>1192</v>
      </c>
      <c r="C34" s="1">
        <f t="shared" si="0"/>
        <v>8</v>
      </c>
    </row>
    <row r="35" spans="1:3">
      <c r="A35" s="1" t="s">
        <v>1161</v>
      </c>
      <c r="B35" s="1" t="s">
        <v>1194</v>
      </c>
      <c r="C35" s="1">
        <f t="shared" si="0"/>
        <v>8</v>
      </c>
    </row>
    <row r="36" spans="1:3">
      <c r="A36" s="1" t="s">
        <v>1162</v>
      </c>
      <c r="B36" s="1" t="s">
        <v>1214</v>
      </c>
      <c r="C36" s="1">
        <f t="shared" si="0"/>
        <v>8</v>
      </c>
    </row>
    <row r="37" spans="1:3">
      <c r="A37" s="1" t="s">
        <v>1163</v>
      </c>
      <c r="B37" s="1" t="s">
        <v>1142</v>
      </c>
      <c r="C37" s="1">
        <f t="shared" si="0"/>
        <v>7</v>
      </c>
    </row>
    <row r="38" spans="1:3">
      <c r="A38" s="1" t="s">
        <v>1164</v>
      </c>
      <c r="B38" s="1" t="s">
        <v>1203</v>
      </c>
      <c r="C38" s="1">
        <f t="shared" si="0"/>
        <v>7</v>
      </c>
    </row>
    <row r="39" spans="1:3">
      <c r="A39" s="1" t="s">
        <v>1165</v>
      </c>
      <c r="B39" s="1" t="s">
        <v>1209</v>
      </c>
      <c r="C39" s="1">
        <f t="shared" si="0"/>
        <v>7</v>
      </c>
    </row>
    <row r="40" spans="1:3">
      <c r="A40" s="1" t="s">
        <v>1156</v>
      </c>
      <c r="B40" s="1" t="s">
        <v>1259</v>
      </c>
      <c r="C40" s="1">
        <f t="shared" si="0"/>
        <v>7</v>
      </c>
    </row>
    <row r="41" spans="1:3">
      <c r="A41" s="1" t="s">
        <v>1166</v>
      </c>
      <c r="B41" s="1" t="s">
        <v>1260</v>
      </c>
      <c r="C41" s="1">
        <f t="shared" si="0"/>
        <v>7</v>
      </c>
    </row>
    <row r="42" spans="1:3">
      <c r="A42" s="1" t="s">
        <v>1167</v>
      </c>
      <c r="B42" s="1" t="s">
        <v>1282</v>
      </c>
      <c r="C42" s="1">
        <f t="shared" si="0"/>
        <v>7</v>
      </c>
    </row>
    <row r="43" spans="1:3">
      <c r="A43" s="1" t="s">
        <v>1168</v>
      </c>
      <c r="B43" s="1" t="s">
        <v>1287</v>
      </c>
      <c r="C43" s="1">
        <f t="shared" si="0"/>
        <v>7</v>
      </c>
    </row>
    <row r="44" spans="1:3">
      <c r="A44" s="1" t="s">
        <v>1161</v>
      </c>
      <c r="B44" s="1" t="s">
        <v>1170</v>
      </c>
      <c r="C44" s="1">
        <f t="shared" si="0"/>
        <v>6</v>
      </c>
    </row>
    <row r="45" spans="1:3">
      <c r="A45" s="1" t="s">
        <v>1169</v>
      </c>
      <c r="B45" s="1" t="s">
        <v>1191</v>
      </c>
      <c r="C45" s="1">
        <f t="shared" si="0"/>
        <v>6</v>
      </c>
    </row>
    <row r="46" spans="1:3">
      <c r="A46" s="1" t="s">
        <v>1170</v>
      </c>
      <c r="B46" s="1" t="s">
        <v>1241</v>
      </c>
      <c r="C46" s="1">
        <f t="shared" si="0"/>
        <v>6</v>
      </c>
    </row>
    <row r="47" spans="1:3">
      <c r="A47" s="1" t="s">
        <v>1156</v>
      </c>
      <c r="B47" s="1" t="s">
        <v>1148</v>
      </c>
      <c r="C47" s="1">
        <f t="shared" si="0"/>
        <v>5</v>
      </c>
    </row>
    <row r="48" spans="1:3">
      <c r="A48" s="1" t="s">
        <v>1171</v>
      </c>
      <c r="B48" s="1" t="s">
        <v>1150</v>
      </c>
      <c r="C48" s="1">
        <f t="shared" si="0"/>
        <v>5</v>
      </c>
    </row>
    <row r="49" spans="1:3">
      <c r="A49" s="1" t="s">
        <v>1172</v>
      </c>
      <c r="B49" s="1" t="s">
        <v>1153</v>
      </c>
      <c r="C49" s="1">
        <f t="shared" si="0"/>
        <v>5</v>
      </c>
    </row>
    <row r="50" spans="1:3">
      <c r="A50" s="1" t="s">
        <v>1173</v>
      </c>
      <c r="B50" s="1" t="s">
        <v>1215</v>
      </c>
      <c r="C50" s="1">
        <f t="shared" si="0"/>
        <v>5</v>
      </c>
    </row>
    <row r="51" spans="1:3">
      <c r="A51" s="1" t="s">
        <v>1174</v>
      </c>
      <c r="B51" s="1" t="s">
        <v>1216</v>
      </c>
      <c r="C51" s="1">
        <f t="shared" si="0"/>
        <v>5</v>
      </c>
    </row>
    <row r="52" spans="1:3">
      <c r="A52" s="1" t="s">
        <v>1175</v>
      </c>
      <c r="B52" s="1" t="s">
        <v>1227</v>
      </c>
      <c r="C52" s="1">
        <f t="shared" si="0"/>
        <v>5</v>
      </c>
    </row>
    <row r="53" spans="1:3">
      <c r="A53" s="1" t="s">
        <v>1176</v>
      </c>
      <c r="B53" s="1" t="s">
        <v>1231</v>
      </c>
      <c r="C53" s="1">
        <f t="shared" si="0"/>
        <v>5</v>
      </c>
    </row>
    <row r="54" spans="1:3">
      <c r="A54" s="1" t="s">
        <v>1144</v>
      </c>
      <c r="B54" s="1" t="s">
        <v>1257</v>
      </c>
      <c r="C54" s="1">
        <f t="shared" si="0"/>
        <v>5</v>
      </c>
    </row>
    <row r="55" spans="1:3">
      <c r="A55" s="1" t="s">
        <v>1167</v>
      </c>
      <c r="B55" s="1" t="s">
        <v>1258</v>
      </c>
      <c r="C55" s="1">
        <f t="shared" si="0"/>
        <v>5</v>
      </c>
    </row>
    <row r="56" spans="1:3">
      <c r="A56" s="1" t="s">
        <v>1169</v>
      </c>
      <c r="B56" s="1" t="s">
        <v>1273</v>
      </c>
      <c r="C56" s="1">
        <f t="shared" si="0"/>
        <v>5</v>
      </c>
    </row>
    <row r="57" spans="1:3">
      <c r="A57" s="1" t="s">
        <v>1161</v>
      </c>
      <c r="B57" s="1" t="s">
        <v>1290</v>
      </c>
      <c r="C57" s="1">
        <f t="shared" si="0"/>
        <v>5</v>
      </c>
    </row>
    <row r="58" spans="1:3">
      <c r="A58" s="1" t="s">
        <v>1156</v>
      </c>
      <c r="B58" s="1" t="s">
        <v>1333</v>
      </c>
      <c r="C58" s="1">
        <f t="shared" si="0"/>
        <v>5</v>
      </c>
    </row>
    <row r="59" spans="1:3">
      <c r="A59" s="1" t="s">
        <v>1177</v>
      </c>
      <c r="B59" s="1" t="s">
        <v>1162</v>
      </c>
      <c r="C59" s="1">
        <f t="shared" si="0"/>
        <v>4</v>
      </c>
    </row>
    <row r="60" spans="1:3">
      <c r="A60" s="1" t="s">
        <v>1142</v>
      </c>
      <c r="B60" s="1" t="s">
        <v>1180</v>
      </c>
      <c r="C60" s="1">
        <f t="shared" si="0"/>
        <v>4</v>
      </c>
    </row>
    <row r="61" spans="1:3">
      <c r="A61" s="1" t="s">
        <v>1144</v>
      </c>
      <c r="B61" s="1" t="s">
        <v>1193</v>
      </c>
      <c r="C61" s="1">
        <f t="shared" si="0"/>
        <v>4</v>
      </c>
    </row>
    <row r="62" spans="1:3">
      <c r="A62" s="1" t="s">
        <v>1156</v>
      </c>
      <c r="B62" s="1" t="s">
        <v>1201</v>
      </c>
      <c r="C62" s="1">
        <f t="shared" si="0"/>
        <v>4</v>
      </c>
    </row>
    <row r="63" spans="1:3">
      <c r="A63" s="1" t="s">
        <v>1160</v>
      </c>
      <c r="B63" s="1" t="s">
        <v>1204</v>
      </c>
      <c r="C63" s="1">
        <f t="shared" si="0"/>
        <v>4</v>
      </c>
    </row>
    <row r="64" spans="1:3">
      <c r="A64" s="1" t="s">
        <v>1178</v>
      </c>
      <c r="B64" s="1" t="s">
        <v>1224</v>
      </c>
      <c r="C64" s="1">
        <f t="shared" si="0"/>
        <v>4</v>
      </c>
    </row>
    <row r="65" spans="1:3">
      <c r="A65" s="1" t="s">
        <v>1179</v>
      </c>
      <c r="B65" s="1" t="s">
        <v>1243</v>
      </c>
      <c r="C65" s="1">
        <f t="shared" si="0"/>
        <v>4</v>
      </c>
    </row>
    <row r="66" spans="1:3">
      <c r="A66" s="1" t="s">
        <v>1155</v>
      </c>
      <c r="B66" s="1" t="s">
        <v>1244</v>
      </c>
      <c r="C66" s="1">
        <f t="shared" ref="C66:C129" si="1">COUNTIFS(A:A,B66)</f>
        <v>4</v>
      </c>
    </row>
    <row r="67" spans="1:3">
      <c r="A67" s="1" t="s">
        <v>1148</v>
      </c>
      <c r="B67" s="1" t="s">
        <v>1286</v>
      </c>
      <c r="C67" s="1">
        <f t="shared" si="1"/>
        <v>4</v>
      </c>
    </row>
    <row r="68" spans="1:3">
      <c r="A68" s="1" t="s">
        <v>1153</v>
      </c>
      <c r="B68" s="1" t="s">
        <v>1303</v>
      </c>
      <c r="C68" s="1">
        <f t="shared" si="1"/>
        <v>4</v>
      </c>
    </row>
    <row r="69" spans="1:3">
      <c r="A69" s="1" t="s">
        <v>1145</v>
      </c>
      <c r="B69" s="1" t="s">
        <v>1304</v>
      </c>
      <c r="C69" s="1">
        <f t="shared" si="1"/>
        <v>4</v>
      </c>
    </row>
    <row r="70" spans="1:3">
      <c r="A70" s="1" t="s">
        <v>1161</v>
      </c>
      <c r="B70" s="1" t="s">
        <v>1173</v>
      </c>
      <c r="C70" s="1">
        <f t="shared" si="1"/>
        <v>3</v>
      </c>
    </row>
    <row r="71" spans="1:3">
      <c r="A71" s="1" t="s">
        <v>1146</v>
      </c>
      <c r="B71" s="1" t="s">
        <v>1175</v>
      </c>
      <c r="C71" s="1">
        <f t="shared" si="1"/>
        <v>3</v>
      </c>
    </row>
    <row r="72" spans="1:3">
      <c r="A72" s="1" t="s">
        <v>1147</v>
      </c>
      <c r="B72" s="1" t="s">
        <v>1179</v>
      </c>
      <c r="C72" s="1">
        <f t="shared" si="1"/>
        <v>3</v>
      </c>
    </row>
    <row r="73" spans="1:3">
      <c r="A73" s="1" t="s">
        <v>1160</v>
      </c>
      <c r="B73" s="1" t="s">
        <v>1182</v>
      </c>
      <c r="C73" s="1">
        <f t="shared" si="1"/>
        <v>3</v>
      </c>
    </row>
    <row r="74" spans="1:3">
      <c r="A74" s="1" t="s">
        <v>1178</v>
      </c>
      <c r="B74" s="1" t="s">
        <v>1188</v>
      </c>
      <c r="C74" s="1">
        <f t="shared" si="1"/>
        <v>3</v>
      </c>
    </row>
    <row r="75" spans="1:3">
      <c r="A75" s="1" t="s">
        <v>1180</v>
      </c>
      <c r="B75" s="1" t="s">
        <v>1197</v>
      </c>
      <c r="C75" s="1">
        <f t="shared" si="1"/>
        <v>3</v>
      </c>
    </row>
    <row r="76" spans="1:3">
      <c r="A76" s="1" t="s">
        <v>1152</v>
      </c>
      <c r="B76" s="1" t="s">
        <v>1208</v>
      </c>
      <c r="C76" s="1">
        <f t="shared" si="1"/>
        <v>3</v>
      </c>
    </row>
    <row r="77" spans="1:3">
      <c r="A77" s="1" t="s">
        <v>1181</v>
      </c>
      <c r="B77" s="1" t="s">
        <v>1217</v>
      </c>
      <c r="C77" s="1">
        <f t="shared" si="1"/>
        <v>3</v>
      </c>
    </row>
    <row r="78" spans="1:3">
      <c r="A78" s="1" t="s">
        <v>1148</v>
      </c>
      <c r="B78" s="1" t="s">
        <v>1232</v>
      </c>
      <c r="C78" s="1">
        <f t="shared" si="1"/>
        <v>3</v>
      </c>
    </row>
    <row r="79" spans="1:3">
      <c r="A79" s="1" t="s">
        <v>1182</v>
      </c>
      <c r="B79" s="1" t="s">
        <v>1237</v>
      </c>
      <c r="C79" s="1">
        <f t="shared" si="1"/>
        <v>3</v>
      </c>
    </row>
    <row r="80" spans="1:3">
      <c r="A80" s="1" t="s">
        <v>1183</v>
      </c>
      <c r="B80" s="1" t="s">
        <v>1238</v>
      </c>
      <c r="C80" s="1">
        <f t="shared" si="1"/>
        <v>3</v>
      </c>
    </row>
    <row r="81" spans="1:3">
      <c r="A81" s="1" t="s">
        <v>1161</v>
      </c>
      <c r="B81" s="1" t="s">
        <v>1246</v>
      </c>
      <c r="C81" s="1">
        <f t="shared" si="1"/>
        <v>3</v>
      </c>
    </row>
    <row r="82" spans="1:3">
      <c r="A82" s="1" t="s">
        <v>1184</v>
      </c>
      <c r="B82" s="1" t="s">
        <v>1249</v>
      </c>
      <c r="C82" s="1">
        <f t="shared" si="1"/>
        <v>3</v>
      </c>
    </row>
    <row r="83" spans="1:3">
      <c r="A83" s="1" t="s">
        <v>1156</v>
      </c>
      <c r="B83" s="1" t="s">
        <v>1251</v>
      </c>
      <c r="C83" s="1">
        <f t="shared" si="1"/>
        <v>3</v>
      </c>
    </row>
    <row r="84" spans="1:3">
      <c r="A84" s="1" t="s">
        <v>1146</v>
      </c>
      <c r="B84" s="1" t="s">
        <v>1274</v>
      </c>
      <c r="C84" s="1">
        <f t="shared" si="1"/>
        <v>3</v>
      </c>
    </row>
    <row r="85" spans="1:3">
      <c r="A85" s="1" t="s">
        <v>1169</v>
      </c>
      <c r="B85" s="1" t="s">
        <v>1285</v>
      </c>
      <c r="C85" s="1">
        <f t="shared" si="1"/>
        <v>3</v>
      </c>
    </row>
    <row r="86" spans="1:3">
      <c r="A86" s="1" t="s">
        <v>1184</v>
      </c>
      <c r="B86" s="1" t="s">
        <v>1300</v>
      </c>
      <c r="C86" s="1">
        <f t="shared" si="1"/>
        <v>3</v>
      </c>
    </row>
    <row r="87" spans="1:3">
      <c r="A87" s="1" t="s">
        <v>1185</v>
      </c>
      <c r="B87" s="1" t="s">
        <v>1301</v>
      </c>
      <c r="C87" s="1">
        <f t="shared" si="1"/>
        <v>3</v>
      </c>
    </row>
    <row r="88" spans="1:3">
      <c r="A88" s="1" t="s">
        <v>1186</v>
      </c>
      <c r="B88" s="1" t="s">
        <v>1305</v>
      </c>
      <c r="C88" s="1">
        <f t="shared" si="1"/>
        <v>3</v>
      </c>
    </row>
    <row r="89" spans="1:3">
      <c r="A89" s="1" t="s">
        <v>1166</v>
      </c>
      <c r="B89" s="1" t="s">
        <v>1313</v>
      </c>
      <c r="C89" s="1">
        <f t="shared" si="1"/>
        <v>3</v>
      </c>
    </row>
    <row r="90" spans="1:3">
      <c r="A90" s="1" t="s">
        <v>1158</v>
      </c>
      <c r="B90" s="1" t="s">
        <v>1322</v>
      </c>
      <c r="C90" s="1">
        <f t="shared" si="1"/>
        <v>3</v>
      </c>
    </row>
    <row r="91" spans="1:3">
      <c r="A91" s="1" t="s">
        <v>1180</v>
      </c>
      <c r="B91" s="1" t="s">
        <v>1336</v>
      </c>
      <c r="C91" s="1">
        <f t="shared" si="1"/>
        <v>3</v>
      </c>
    </row>
    <row r="92" spans="1:3">
      <c r="A92" s="1" t="s">
        <v>1183</v>
      </c>
      <c r="B92" s="1" t="s">
        <v>1349</v>
      </c>
      <c r="C92" s="1">
        <f t="shared" si="1"/>
        <v>3</v>
      </c>
    </row>
    <row r="93" spans="1:3">
      <c r="A93" s="1" t="s">
        <v>1161</v>
      </c>
      <c r="B93" s="1" t="s">
        <v>1351</v>
      </c>
      <c r="C93" s="1">
        <f t="shared" si="1"/>
        <v>3</v>
      </c>
    </row>
    <row r="94" spans="1:3">
      <c r="A94" s="1" t="s">
        <v>1181</v>
      </c>
      <c r="B94" s="1" t="s">
        <v>1359</v>
      </c>
      <c r="C94" s="1">
        <f t="shared" si="1"/>
        <v>3</v>
      </c>
    </row>
    <row r="95" spans="1:3">
      <c r="A95" s="1" t="s">
        <v>1187</v>
      </c>
      <c r="B95" s="1" t="s">
        <v>1403</v>
      </c>
      <c r="C95" s="1">
        <f t="shared" si="1"/>
        <v>3</v>
      </c>
    </row>
    <row r="96" spans="1:3">
      <c r="A96" s="1" t="s">
        <v>1156</v>
      </c>
      <c r="B96" s="1" t="s">
        <v>1440</v>
      </c>
      <c r="C96" s="1">
        <f t="shared" si="1"/>
        <v>3</v>
      </c>
    </row>
    <row r="97" spans="1:3">
      <c r="A97" s="1" t="s">
        <v>1188</v>
      </c>
      <c r="B97" s="1" t="s">
        <v>1459</v>
      </c>
      <c r="C97" s="1">
        <f t="shared" si="1"/>
        <v>3</v>
      </c>
    </row>
    <row r="98" spans="1:3">
      <c r="A98" s="1" t="s">
        <v>1189</v>
      </c>
      <c r="B98" s="1" t="s">
        <v>1168</v>
      </c>
      <c r="C98" s="1">
        <f t="shared" si="1"/>
        <v>2</v>
      </c>
    </row>
    <row r="99" spans="1:3">
      <c r="A99" s="1" t="s">
        <v>1190</v>
      </c>
      <c r="B99" s="1" t="s">
        <v>1171</v>
      </c>
      <c r="C99" s="1">
        <f t="shared" si="1"/>
        <v>2</v>
      </c>
    </row>
    <row r="100" spans="1:3">
      <c r="A100" s="1" t="s">
        <v>1191</v>
      </c>
      <c r="B100" s="1" t="s">
        <v>1196</v>
      </c>
      <c r="C100" s="1">
        <f t="shared" si="1"/>
        <v>2</v>
      </c>
    </row>
    <row r="101" spans="1:3">
      <c r="A101" s="1" t="s">
        <v>1192</v>
      </c>
      <c r="B101" s="1" t="s">
        <v>1200</v>
      </c>
      <c r="C101" s="1">
        <f t="shared" si="1"/>
        <v>2</v>
      </c>
    </row>
    <row r="102" spans="1:3">
      <c r="A102" s="1" t="s">
        <v>1189</v>
      </c>
      <c r="B102" s="1" t="s">
        <v>1202</v>
      </c>
      <c r="C102" s="1">
        <f t="shared" si="1"/>
        <v>2</v>
      </c>
    </row>
    <row r="103" spans="1:3">
      <c r="A103" s="1" t="s">
        <v>1193</v>
      </c>
      <c r="B103" s="1" t="s">
        <v>1207</v>
      </c>
      <c r="C103" s="1">
        <f t="shared" si="1"/>
        <v>2</v>
      </c>
    </row>
    <row r="104" spans="1:3">
      <c r="A104" s="1" t="s">
        <v>1194</v>
      </c>
      <c r="B104" s="1" t="s">
        <v>1210</v>
      </c>
      <c r="C104" s="1">
        <f t="shared" si="1"/>
        <v>2</v>
      </c>
    </row>
    <row r="105" spans="1:3">
      <c r="A105" s="1" t="s">
        <v>1195</v>
      </c>
      <c r="B105" s="1" t="s">
        <v>1218</v>
      </c>
      <c r="C105" s="1">
        <f t="shared" si="1"/>
        <v>2</v>
      </c>
    </row>
    <row r="106" spans="1:3">
      <c r="A106" s="1" t="s">
        <v>1192</v>
      </c>
      <c r="B106" s="1" t="s">
        <v>1221</v>
      </c>
      <c r="C106" s="1">
        <f t="shared" si="1"/>
        <v>2</v>
      </c>
    </row>
    <row r="107" spans="1:3">
      <c r="A107" s="1" t="s">
        <v>1196</v>
      </c>
      <c r="B107" s="1" t="s">
        <v>1226</v>
      </c>
      <c r="C107" s="1">
        <f t="shared" si="1"/>
        <v>2</v>
      </c>
    </row>
    <row r="108" spans="1:3">
      <c r="A108" s="1" t="s">
        <v>1189</v>
      </c>
      <c r="B108" s="1" t="s">
        <v>1230</v>
      </c>
      <c r="C108" s="1">
        <f t="shared" si="1"/>
        <v>2</v>
      </c>
    </row>
    <row r="109" spans="1:3">
      <c r="A109" s="1" t="s">
        <v>1192</v>
      </c>
      <c r="B109" s="1" t="s">
        <v>1239</v>
      </c>
      <c r="C109" s="1">
        <f t="shared" si="1"/>
        <v>2</v>
      </c>
    </row>
    <row r="110" spans="1:3">
      <c r="A110" s="1" t="s">
        <v>1189</v>
      </c>
      <c r="B110" s="1" t="s">
        <v>1263</v>
      </c>
      <c r="C110" s="1">
        <f t="shared" si="1"/>
        <v>2</v>
      </c>
    </row>
    <row r="111" spans="1:3">
      <c r="A111" s="1" t="s">
        <v>1192</v>
      </c>
      <c r="B111" s="1" t="s">
        <v>1250</v>
      </c>
      <c r="C111" s="1">
        <f t="shared" si="1"/>
        <v>2</v>
      </c>
    </row>
    <row r="112" spans="1:3">
      <c r="A112" s="1" t="s">
        <v>1197</v>
      </c>
      <c r="B112" s="1" t="s">
        <v>1252</v>
      </c>
      <c r="C112" s="1">
        <f t="shared" si="1"/>
        <v>2</v>
      </c>
    </row>
    <row r="113" spans="1:3">
      <c r="A113" s="1" t="s">
        <v>1157</v>
      </c>
      <c r="B113" s="1" t="s">
        <v>1253</v>
      </c>
      <c r="C113" s="1">
        <f t="shared" si="1"/>
        <v>2</v>
      </c>
    </row>
    <row r="114" spans="1:3">
      <c r="A114" s="1" t="s">
        <v>1198</v>
      </c>
      <c r="B114" s="1" t="s">
        <v>1256</v>
      </c>
      <c r="C114" s="1">
        <f t="shared" si="1"/>
        <v>2</v>
      </c>
    </row>
    <row r="115" spans="1:3">
      <c r="A115" s="1" t="s">
        <v>1184</v>
      </c>
      <c r="B115" s="1" t="s">
        <v>1265</v>
      </c>
      <c r="C115" s="1">
        <f t="shared" si="1"/>
        <v>2</v>
      </c>
    </row>
    <row r="116" spans="1:3">
      <c r="A116" s="1" t="s">
        <v>1156</v>
      </c>
      <c r="B116" s="1" t="s">
        <v>1269</v>
      </c>
      <c r="C116" s="1">
        <f t="shared" si="1"/>
        <v>2</v>
      </c>
    </row>
    <row r="117" spans="1:3">
      <c r="A117" s="1" t="s">
        <v>1199</v>
      </c>
      <c r="B117" s="1" t="s">
        <v>1272</v>
      </c>
      <c r="C117" s="1">
        <f t="shared" si="1"/>
        <v>2</v>
      </c>
    </row>
    <row r="118" spans="1:3">
      <c r="A118" s="1" t="s">
        <v>1145</v>
      </c>
      <c r="B118" s="1" t="s">
        <v>1275</v>
      </c>
      <c r="C118" s="1">
        <f t="shared" si="1"/>
        <v>2</v>
      </c>
    </row>
    <row r="119" spans="1:3">
      <c r="A119" s="1" t="s">
        <v>1144</v>
      </c>
      <c r="B119" s="1" t="s">
        <v>1277</v>
      </c>
      <c r="C119" s="1">
        <f t="shared" si="1"/>
        <v>2</v>
      </c>
    </row>
    <row r="120" spans="1:3">
      <c r="A120" s="1" t="s">
        <v>1191</v>
      </c>
      <c r="B120" s="1" t="s">
        <v>1280</v>
      </c>
      <c r="C120" s="1">
        <f t="shared" si="1"/>
        <v>2</v>
      </c>
    </row>
    <row r="121" spans="1:3">
      <c r="A121" s="1" t="s">
        <v>1190</v>
      </c>
      <c r="B121" s="1" t="s">
        <v>1283</v>
      </c>
      <c r="C121" s="1">
        <f t="shared" si="1"/>
        <v>2</v>
      </c>
    </row>
    <row r="122" spans="1:3">
      <c r="A122" s="1" t="s">
        <v>1189</v>
      </c>
      <c r="B122" s="1" t="s">
        <v>1288</v>
      </c>
      <c r="C122" s="1">
        <f t="shared" si="1"/>
        <v>2</v>
      </c>
    </row>
    <row r="123" spans="1:3">
      <c r="A123" s="1" t="s">
        <v>1200</v>
      </c>
      <c r="B123" s="1" t="s">
        <v>1292</v>
      </c>
      <c r="C123" s="1">
        <f t="shared" si="1"/>
        <v>2</v>
      </c>
    </row>
    <row r="124" spans="1:3">
      <c r="A124" s="1" t="s">
        <v>1198</v>
      </c>
      <c r="B124" s="1" t="s">
        <v>1294</v>
      </c>
      <c r="C124" s="1">
        <f t="shared" si="1"/>
        <v>2</v>
      </c>
    </row>
    <row r="125" spans="1:3">
      <c r="A125" s="1" t="s">
        <v>1201</v>
      </c>
      <c r="B125" s="1" t="s">
        <v>1296</v>
      </c>
      <c r="C125" s="1">
        <f t="shared" si="1"/>
        <v>2</v>
      </c>
    </row>
    <row r="126" spans="1:3">
      <c r="A126" s="1" t="s">
        <v>1202</v>
      </c>
      <c r="B126" s="1" t="s">
        <v>1302</v>
      </c>
      <c r="C126" s="1">
        <f t="shared" si="1"/>
        <v>2</v>
      </c>
    </row>
    <row r="127" spans="1:3">
      <c r="A127" s="1" t="s">
        <v>1203</v>
      </c>
      <c r="B127" s="1" t="s">
        <v>1309</v>
      </c>
      <c r="C127" s="1">
        <f t="shared" si="1"/>
        <v>2</v>
      </c>
    </row>
    <row r="128" spans="1:3">
      <c r="A128" s="1" t="s">
        <v>1204</v>
      </c>
      <c r="B128" s="1" t="s">
        <v>1311</v>
      </c>
      <c r="C128" s="1">
        <f t="shared" si="1"/>
        <v>2</v>
      </c>
    </row>
    <row r="129" spans="1:3">
      <c r="A129" s="1" t="s">
        <v>1181</v>
      </c>
      <c r="B129" s="1" t="s">
        <v>1312</v>
      </c>
      <c r="C129" s="1">
        <f t="shared" si="1"/>
        <v>2</v>
      </c>
    </row>
    <row r="130" spans="1:3">
      <c r="A130" s="1" t="s">
        <v>1205</v>
      </c>
      <c r="B130" s="1" t="s">
        <v>1314</v>
      </c>
      <c r="C130" s="1">
        <f t="shared" ref="C130:C193" si="2">COUNTIFS(A:A,B130)</f>
        <v>2</v>
      </c>
    </row>
    <row r="131" spans="1:3">
      <c r="A131" s="1" t="s">
        <v>1196</v>
      </c>
      <c r="B131" s="1" t="s">
        <v>1315</v>
      </c>
      <c r="C131" s="1">
        <f t="shared" si="2"/>
        <v>2</v>
      </c>
    </row>
    <row r="132" spans="1:3">
      <c r="A132" s="1" t="s">
        <v>1206</v>
      </c>
      <c r="B132" s="1" t="s">
        <v>1316</v>
      </c>
      <c r="C132" s="1">
        <f t="shared" si="2"/>
        <v>2</v>
      </c>
    </row>
    <row r="133" spans="1:3">
      <c r="A133" s="1" t="s">
        <v>1147</v>
      </c>
      <c r="B133" s="1" t="s">
        <v>1330</v>
      </c>
      <c r="C133" s="1">
        <f t="shared" si="2"/>
        <v>2</v>
      </c>
    </row>
    <row r="134" spans="1:3">
      <c r="A134" s="1" t="s">
        <v>1189</v>
      </c>
      <c r="B134" s="1" t="s">
        <v>1335</v>
      </c>
      <c r="C134" s="1">
        <f t="shared" si="2"/>
        <v>2</v>
      </c>
    </row>
    <row r="135" spans="1:3">
      <c r="A135" s="1" t="s">
        <v>1192</v>
      </c>
      <c r="B135" s="1" t="s">
        <v>1343</v>
      </c>
      <c r="C135" s="1">
        <f t="shared" si="2"/>
        <v>2</v>
      </c>
    </row>
    <row r="136" spans="1:3">
      <c r="A136" s="1" t="s">
        <v>1191</v>
      </c>
      <c r="B136" s="1" t="s">
        <v>1348</v>
      </c>
      <c r="C136" s="1">
        <f t="shared" si="2"/>
        <v>2</v>
      </c>
    </row>
    <row r="137" spans="1:3">
      <c r="A137" s="1" t="s">
        <v>1190</v>
      </c>
      <c r="B137" s="1" t="s">
        <v>1352</v>
      </c>
      <c r="C137" s="1">
        <f t="shared" si="2"/>
        <v>2</v>
      </c>
    </row>
    <row r="138" spans="1:3">
      <c r="A138" s="1" t="s">
        <v>1184</v>
      </c>
      <c r="B138" s="1" t="s">
        <v>1353</v>
      </c>
      <c r="C138" s="1">
        <f t="shared" si="2"/>
        <v>2</v>
      </c>
    </row>
    <row r="139" spans="1:3">
      <c r="A139" s="1" t="s">
        <v>1198</v>
      </c>
      <c r="B139" s="1" t="s">
        <v>1461</v>
      </c>
      <c r="C139" s="1">
        <f t="shared" si="2"/>
        <v>2</v>
      </c>
    </row>
    <row r="140" spans="1:3">
      <c r="A140" s="1" t="s">
        <v>1156</v>
      </c>
      <c r="B140" s="1" t="s">
        <v>1356</v>
      </c>
      <c r="C140" s="1">
        <f t="shared" si="2"/>
        <v>2</v>
      </c>
    </row>
    <row r="141" spans="1:3">
      <c r="A141" s="1" t="s">
        <v>1161</v>
      </c>
      <c r="B141" s="1" t="s">
        <v>1361</v>
      </c>
      <c r="C141" s="1">
        <f t="shared" si="2"/>
        <v>2</v>
      </c>
    </row>
    <row r="142" spans="1:3">
      <c r="A142" s="1" t="s">
        <v>1146</v>
      </c>
      <c r="B142" s="1" t="s">
        <v>1369</v>
      </c>
      <c r="C142" s="1">
        <f t="shared" si="2"/>
        <v>2</v>
      </c>
    </row>
    <row r="143" spans="1:3">
      <c r="A143" s="1" t="s">
        <v>1147</v>
      </c>
      <c r="B143" s="1" t="s">
        <v>1376</v>
      </c>
      <c r="C143" s="1">
        <f t="shared" si="2"/>
        <v>2</v>
      </c>
    </row>
    <row r="144" spans="1:3">
      <c r="A144" s="1" t="s">
        <v>1178</v>
      </c>
      <c r="B144" s="1" t="s">
        <v>1382</v>
      </c>
      <c r="C144" s="1">
        <f t="shared" si="2"/>
        <v>2</v>
      </c>
    </row>
    <row r="145" spans="1:3">
      <c r="A145" s="1" t="s">
        <v>1155</v>
      </c>
      <c r="B145" s="1" t="s">
        <v>1407</v>
      </c>
      <c r="C145" s="1">
        <f t="shared" si="2"/>
        <v>2</v>
      </c>
    </row>
    <row r="146" spans="1:3">
      <c r="A146" s="1" t="s">
        <v>1158</v>
      </c>
      <c r="B146" s="1" t="s">
        <v>1408</v>
      </c>
      <c r="C146" s="1">
        <f t="shared" si="2"/>
        <v>2</v>
      </c>
    </row>
    <row r="147" spans="1:3">
      <c r="A147" s="1" t="s">
        <v>1184</v>
      </c>
      <c r="B147" s="1" t="s">
        <v>1412</v>
      </c>
      <c r="C147" s="1">
        <f t="shared" si="2"/>
        <v>2</v>
      </c>
    </row>
    <row r="148" spans="1:3">
      <c r="A148" s="1" t="s">
        <v>1156</v>
      </c>
      <c r="B148" s="1" t="s">
        <v>1416</v>
      </c>
      <c r="C148" s="1">
        <f t="shared" si="2"/>
        <v>2</v>
      </c>
    </row>
    <row r="149" spans="1:3">
      <c r="A149" s="1" t="s">
        <v>1146</v>
      </c>
      <c r="B149" s="1" t="s">
        <v>1420</v>
      </c>
      <c r="C149" s="1">
        <f t="shared" si="2"/>
        <v>2</v>
      </c>
    </row>
    <row r="150" spans="1:3">
      <c r="A150" s="1" t="s">
        <v>1147</v>
      </c>
      <c r="B150" s="1" t="s">
        <v>1430</v>
      </c>
      <c r="C150" s="1">
        <f t="shared" si="2"/>
        <v>2</v>
      </c>
    </row>
    <row r="151" spans="1:3">
      <c r="A151" s="1" t="s">
        <v>1207</v>
      </c>
      <c r="B151" s="1" t="s">
        <v>1446</v>
      </c>
      <c r="C151" s="1">
        <f t="shared" si="2"/>
        <v>2</v>
      </c>
    </row>
    <row r="152" spans="1:3">
      <c r="A152" s="1" t="s">
        <v>1155</v>
      </c>
      <c r="B152" s="1" t="s">
        <v>1449</v>
      </c>
      <c r="C152" s="1">
        <f t="shared" si="2"/>
        <v>2</v>
      </c>
    </row>
    <row r="153" spans="1:3">
      <c r="A153" s="1" t="s">
        <v>1181</v>
      </c>
      <c r="B153" s="1" t="s">
        <v>1467</v>
      </c>
      <c r="C153" s="1">
        <f t="shared" si="2"/>
        <v>2</v>
      </c>
    </row>
    <row r="154" spans="1:3">
      <c r="A154" s="1" t="s">
        <v>1208</v>
      </c>
      <c r="B154" s="1" t="s">
        <v>1460</v>
      </c>
      <c r="C154" s="1">
        <f t="shared" si="2"/>
        <v>2</v>
      </c>
    </row>
    <row r="155" spans="1:3">
      <c r="A155" s="1" t="s">
        <v>1166</v>
      </c>
      <c r="B155" s="1" t="s">
        <v>1464</v>
      </c>
      <c r="C155" s="1">
        <f t="shared" si="2"/>
        <v>2</v>
      </c>
    </row>
    <row r="156" spans="1:3">
      <c r="A156" s="1" t="s">
        <v>1158</v>
      </c>
      <c r="B156" s="1" t="s">
        <v>1465</v>
      </c>
      <c r="C156" s="1">
        <f t="shared" si="2"/>
        <v>2</v>
      </c>
    </row>
    <row r="157" spans="1:3">
      <c r="A157" s="1" t="s">
        <v>1183</v>
      </c>
      <c r="B157" s="1" t="s">
        <v>1466</v>
      </c>
      <c r="C157" s="1">
        <f t="shared" si="2"/>
        <v>2</v>
      </c>
    </row>
    <row r="158" spans="1:3">
      <c r="A158" s="1" t="s">
        <v>1209</v>
      </c>
      <c r="B158" s="1" t="s">
        <v>1163</v>
      </c>
      <c r="C158" s="1">
        <f t="shared" si="2"/>
        <v>1</v>
      </c>
    </row>
    <row r="159" spans="1:3">
      <c r="A159" s="1" t="s">
        <v>1156</v>
      </c>
      <c r="B159" s="1" t="s">
        <v>1164</v>
      </c>
      <c r="C159" s="1">
        <f t="shared" si="2"/>
        <v>1</v>
      </c>
    </row>
    <row r="160" spans="1:3">
      <c r="A160" s="1" t="s">
        <v>1210</v>
      </c>
      <c r="B160" s="1" t="s">
        <v>1165</v>
      </c>
      <c r="C160" s="1">
        <f t="shared" si="2"/>
        <v>1</v>
      </c>
    </row>
    <row r="161" spans="1:3">
      <c r="A161" s="1" t="s">
        <v>1156</v>
      </c>
      <c r="B161" s="1" t="s">
        <v>1172</v>
      </c>
      <c r="C161" s="1">
        <f t="shared" si="2"/>
        <v>1</v>
      </c>
    </row>
    <row r="162" spans="1:3">
      <c r="A162" s="1" t="s">
        <v>1191</v>
      </c>
      <c r="B162" s="1" t="s">
        <v>1174</v>
      </c>
      <c r="C162" s="1">
        <f t="shared" si="2"/>
        <v>1</v>
      </c>
    </row>
    <row r="163" spans="1:3">
      <c r="A163" s="1" t="s">
        <v>1178</v>
      </c>
      <c r="B163" s="1" t="s">
        <v>1176</v>
      </c>
      <c r="C163" s="1">
        <f t="shared" si="2"/>
        <v>1</v>
      </c>
    </row>
    <row r="164" spans="1:3">
      <c r="A164" s="1" t="s">
        <v>1145</v>
      </c>
      <c r="B164" s="1" t="s">
        <v>1177</v>
      </c>
      <c r="C164" s="1">
        <f t="shared" si="2"/>
        <v>1</v>
      </c>
    </row>
    <row r="165" spans="1:3">
      <c r="A165" s="1" t="s">
        <v>1178</v>
      </c>
      <c r="B165" s="1" t="s">
        <v>1185</v>
      </c>
      <c r="C165" s="1">
        <f t="shared" si="2"/>
        <v>1</v>
      </c>
    </row>
    <row r="166" spans="1:3">
      <c r="A166" s="1" t="s">
        <v>1198</v>
      </c>
      <c r="B166" s="1" t="s">
        <v>1186</v>
      </c>
      <c r="C166" s="1">
        <f t="shared" si="2"/>
        <v>1</v>
      </c>
    </row>
    <row r="167" spans="1:3">
      <c r="A167" s="1" t="s">
        <v>1211</v>
      </c>
      <c r="B167" s="1" t="s">
        <v>1195</v>
      </c>
      <c r="C167" s="1">
        <f t="shared" si="2"/>
        <v>1</v>
      </c>
    </row>
    <row r="168" spans="1:3">
      <c r="A168" s="1" t="s">
        <v>1212</v>
      </c>
      <c r="B168" s="1" t="s">
        <v>1199</v>
      </c>
      <c r="C168" s="1">
        <f t="shared" si="2"/>
        <v>1</v>
      </c>
    </row>
    <row r="169" spans="1:3">
      <c r="A169" s="1" t="s">
        <v>1183</v>
      </c>
      <c r="B169" s="1" t="s">
        <v>1205</v>
      </c>
      <c r="C169" s="1">
        <f t="shared" si="2"/>
        <v>1</v>
      </c>
    </row>
    <row r="170" spans="1:3">
      <c r="A170" s="1" t="s">
        <v>1156</v>
      </c>
      <c r="B170" s="1" t="s">
        <v>1206</v>
      </c>
      <c r="C170" s="1">
        <f t="shared" si="2"/>
        <v>1</v>
      </c>
    </row>
    <row r="171" spans="1:3">
      <c r="A171" s="1" t="s">
        <v>350</v>
      </c>
      <c r="B171" s="1" t="s">
        <v>1219</v>
      </c>
      <c r="C171" s="1">
        <f t="shared" si="2"/>
        <v>1</v>
      </c>
    </row>
    <row r="172" spans="1:3">
      <c r="A172" s="1" t="s">
        <v>1169</v>
      </c>
      <c r="B172" s="1" t="s">
        <v>1222</v>
      </c>
      <c r="C172" s="1">
        <f t="shared" si="2"/>
        <v>1</v>
      </c>
    </row>
    <row r="173" spans="1:3">
      <c r="A173" s="1" t="s">
        <v>1212</v>
      </c>
      <c r="B173" s="1" t="s">
        <v>1225</v>
      </c>
      <c r="C173" s="1">
        <f t="shared" si="2"/>
        <v>1</v>
      </c>
    </row>
    <row r="174" spans="1:3">
      <c r="A174" s="1" t="s">
        <v>1211</v>
      </c>
      <c r="B174" s="1" t="s">
        <v>1228</v>
      </c>
      <c r="C174" s="1">
        <f t="shared" si="2"/>
        <v>1</v>
      </c>
    </row>
    <row r="175" spans="1:3">
      <c r="A175" s="1" t="s">
        <v>1166</v>
      </c>
      <c r="B175" s="1" t="s">
        <v>1229</v>
      </c>
      <c r="C175" s="1">
        <f t="shared" si="2"/>
        <v>1</v>
      </c>
    </row>
    <row r="176" spans="1:3">
      <c r="A176" s="1" t="s">
        <v>1149</v>
      </c>
      <c r="B176" s="1" t="s">
        <v>1233</v>
      </c>
      <c r="C176" s="1">
        <f t="shared" si="2"/>
        <v>1</v>
      </c>
    </row>
    <row r="177" spans="1:3">
      <c r="A177" s="1" t="s">
        <v>1158</v>
      </c>
      <c r="B177" s="1" t="s">
        <v>1234</v>
      </c>
      <c r="C177" s="1">
        <f t="shared" si="2"/>
        <v>1</v>
      </c>
    </row>
    <row r="178" spans="1:3">
      <c r="A178" s="1" t="s">
        <v>1157</v>
      </c>
      <c r="B178" s="1" t="s">
        <v>1235</v>
      </c>
      <c r="C178" s="1">
        <f t="shared" si="2"/>
        <v>1</v>
      </c>
    </row>
    <row r="179" spans="1:3">
      <c r="A179" s="1" t="s">
        <v>1155</v>
      </c>
      <c r="B179" s="1" t="s">
        <v>1236</v>
      </c>
      <c r="C179" s="1">
        <f t="shared" si="2"/>
        <v>1</v>
      </c>
    </row>
    <row r="180" spans="1:3">
      <c r="A180" s="1" t="s">
        <v>1213</v>
      </c>
      <c r="B180" s="1" t="s">
        <v>1240</v>
      </c>
      <c r="C180" s="1">
        <f t="shared" si="2"/>
        <v>1</v>
      </c>
    </row>
    <row r="181" spans="1:3">
      <c r="A181" s="1" t="s">
        <v>1184</v>
      </c>
      <c r="B181" s="1" t="s">
        <v>1476</v>
      </c>
      <c r="C181" s="1">
        <f t="shared" si="2"/>
        <v>1</v>
      </c>
    </row>
    <row r="182" spans="1:3">
      <c r="A182" s="1" t="s">
        <v>1156</v>
      </c>
      <c r="B182" s="1" t="s">
        <v>1242</v>
      </c>
      <c r="C182" s="1">
        <f t="shared" si="2"/>
        <v>1</v>
      </c>
    </row>
    <row r="183" spans="1:3">
      <c r="A183" s="1" t="s">
        <v>1147</v>
      </c>
      <c r="B183" s="1" t="s">
        <v>1245</v>
      </c>
      <c r="C183" s="1">
        <f t="shared" si="2"/>
        <v>1</v>
      </c>
    </row>
    <row r="184" spans="1:3">
      <c r="A184" s="1" t="s">
        <v>1160</v>
      </c>
      <c r="B184" s="1" t="s">
        <v>1247</v>
      </c>
      <c r="C184" s="1">
        <f t="shared" si="2"/>
        <v>1</v>
      </c>
    </row>
    <row r="185" spans="1:3">
      <c r="A185" s="1" t="s">
        <v>1214</v>
      </c>
      <c r="B185" s="1" t="s">
        <v>1248</v>
      </c>
      <c r="C185" s="1">
        <f t="shared" si="2"/>
        <v>1</v>
      </c>
    </row>
    <row r="186" spans="1:3">
      <c r="A186" s="1" t="s">
        <v>1156</v>
      </c>
      <c r="B186" s="1" t="s">
        <v>1254</v>
      </c>
      <c r="C186" s="1">
        <f t="shared" si="2"/>
        <v>1</v>
      </c>
    </row>
    <row r="187" spans="1:3">
      <c r="A187" s="1" t="s">
        <v>1215</v>
      </c>
      <c r="B187" s="1" t="s">
        <v>1255</v>
      </c>
      <c r="C187" s="1">
        <f t="shared" si="2"/>
        <v>1</v>
      </c>
    </row>
    <row r="188" spans="1:3">
      <c r="A188" s="1" t="s">
        <v>1170</v>
      </c>
      <c r="B188" s="1" t="s">
        <v>1261</v>
      </c>
      <c r="C188" s="1">
        <f t="shared" si="2"/>
        <v>1</v>
      </c>
    </row>
    <row r="189" spans="1:3">
      <c r="A189" s="1" t="s">
        <v>1160</v>
      </c>
      <c r="B189" s="1" t="s">
        <v>1262</v>
      </c>
      <c r="C189" s="1">
        <f t="shared" si="2"/>
        <v>1</v>
      </c>
    </row>
    <row r="190" spans="1:3">
      <c r="A190" s="1" t="s">
        <v>1158</v>
      </c>
      <c r="B190" s="1" t="s">
        <v>1264</v>
      </c>
      <c r="C190" s="1">
        <f t="shared" si="2"/>
        <v>1</v>
      </c>
    </row>
    <row r="191" spans="1:3">
      <c r="A191" s="1" t="s">
        <v>1216</v>
      </c>
      <c r="B191" s="1" t="s">
        <v>1266</v>
      </c>
      <c r="C191" s="1">
        <f t="shared" si="2"/>
        <v>1</v>
      </c>
    </row>
    <row r="192" spans="1:3">
      <c r="A192" s="1" t="s">
        <v>1184</v>
      </c>
      <c r="B192" s="1" t="s">
        <v>1267</v>
      </c>
      <c r="C192" s="1">
        <f t="shared" si="2"/>
        <v>1</v>
      </c>
    </row>
    <row r="193" spans="1:3">
      <c r="A193" s="1" t="s">
        <v>1156</v>
      </c>
      <c r="B193" s="1" t="s">
        <v>1268</v>
      </c>
      <c r="C193" s="1">
        <f t="shared" si="2"/>
        <v>1</v>
      </c>
    </row>
    <row r="194" spans="1:3">
      <c r="A194" s="1" t="s">
        <v>1215</v>
      </c>
      <c r="B194" s="1" t="s">
        <v>1270</v>
      </c>
      <c r="C194" s="1">
        <f t="shared" ref="C194:C257" si="3">COUNTIFS(A:A,B194)</f>
        <v>1</v>
      </c>
    </row>
    <row r="195" spans="1:3">
      <c r="A195" s="1" t="s">
        <v>1217</v>
      </c>
      <c r="B195" s="1" t="s">
        <v>1271</v>
      </c>
      <c r="C195" s="1">
        <f t="shared" si="3"/>
        <v>1</v>
      </c>
    </row>
    <row r="196" spans="1:3">
      <c r="A196" s="1" t="s">
        <v>1154</v>
      </c>
      <c r="B196" s="1" t="s">
        <v>1276</v>
      </c>
      <c r="C196" s="1">
        <f t="shared" si="3"/>
        <v>1</v>
      </c>
    </row>
    <row r="197" spans="1:3">
      <c r="A197" s="1" t="s">
        <v>1218</v>
      </c>
      <c r="B197" s="1" t="s">
        <v>1279</v>
      </c>
      <c r="C197" s="1">
        <f t="shared" si="3"/>
        <v>1</v>
      </c>
    </row>
    <row r="198" spans="1:3">
      <c r="A198" s="1" t="s">
        <v>1219</v>
      </c>
      <c r="B198" s="1" t="s">
        <v>1281</v>
      </c>
      <c r="C198" s="1">
        <f t="shared" si="3"/>
        <v>1</v>
      </c>
    </row>
    <row r="199" spans="1:3">
      <c r="A199" s="1" t="s">
        <v>1213</v>
      </c>
      <c r="B199" s="1" t="s">
        <v>1284</v>
      </c>
      <c r="C199" s="1">
        <f t="shared" si="3"/>
        <v>1</v>
      </c>
    </row>
    <row r="200" spans="1:3">
      <c r="A200" s="1" t="s">
        <v>1168</v>
      </c>
      <c r="B200" s="1" t="s">
        <v>1289</v>
      </c>
      <c r="C200" s="1">
        <f t="shared" si="3"/>
        <v>1</v>
      </c>
    </row>
    <row r="201" spans="1:3">
      <c r="A201" s="1" t="s">
        <v>1167</v>
      </c>
      <c r="B201" s="1" t="s">
        <v>1291</v>
      </c>
      <c r="C201" s="1">
        <f t="shared" si="3"/>
        <v>1</v>
      </c>
    </row>
    <row r="202" spans="1:3">
      <c r="A202" s="1" t="s">
        <v>1220</v>
      </c>
      <c r="B202" s="1" t="s">
        <v>1293</v>
      </c>
      <c r="C202" s="1">
        <f t="shared" si="3"/>
        <v>1</v>
      </c>
    </row>
    <row r="203" spans="1:3">
      <c r="A203" s="1" t="s">
        <v>1221</v>
      </c>
      <c r="B203" s="1" t="s">
        <v>1295</v>
      </c>
      <c r="C203" s="1">
        <f t="shared" si="3"/>
        <v>1</v>
      </c>
    </row>
    <row r="204" spans="1:3">
      <c r="A204" s="1" t="s">
        <v>1217</v>
      </c>
      <c r="B204" s="1" t="s">
        <v>1297</v>
      </c>
      <c r="C204" s="1">
        <f t="shared" si="3"/>
        <v>1</v>
      </c>
    </row>
    <row r="205" spans="1:3">
      <c r="A205" s="1" t="s">
        <v>1154</v>
      </c>
      <c r="B205" s="1" t="s">
        <v>1298</v>
      </c>
      <c r="C205" s="1">
        <f t="shared" si="3"/>
        <v>1</v>
      </c>
    </row>
    <row r="206" spans="1:3">
      <c r="A206" s="1" t="s">
        <v>1222</v>
      </c>
      <c r="B206" s="1" t="s">
        <v>1299</v>
      </c>
      <c r="C206" s="1">
        <f t="shared" si="3"/>
        <v>1</v>
      </c>
    </row>
    <row r="207" spans="1:3">
      <c r="A207" s="1" t="s">
        <v>1193</v>
      </c>
      <c r="B207" s="1" t="s">
        <v>1306</v>
      </c>
      <c r="C207" s="1">
        <f t="shared" si="3"/>
        <v>1</v>
      </c>
    </row>
    <row r="208" spans="1:3">
      <c r="A208" s="1" t="s">
        <v>1213</v>
      </c>
      <c r="B208" s="1" t="s">
        <v>1307</v>
      </c>
      <c r="C208" s="1">
        <f t="shared" si="3"/>
        <v>1</v>
      </c>
    </row>
    <row r="209" spans="1:3">
      <c r="A209" s="1" t="s">
        <v>1155</v>
      </c>
      <c r="B209" s="1" t="s">
        <v>1308</v>
      </c>
      <c r="C209" s="1">
        <f t="shared" si="3"/>
        <v>1</v>
      </c>
    </row>
    <row r="210" spans="1:3">
      <c r="A210" s="1" t="s">
        <v>1223</v>
      </c>
      <c r="B210" s="1" t="s">
        <v>1310</v>
      </c>
      <c r="C210" s="1">
        <f t="shared" si="3"/>
        <v>1</v>
      </c>
    </row>
    <row r="211" spans="1:3">
      <c r="A211" s="1" t="s">
        <v>1224</v>
      </c>
      <c r="B211" s="1" t="s">
        <v>1317</v>
      </c>
      <c r="C211" s="1">
        <f t="shared" si="3"/>
        <v>1</v>
      </c>
    </row>
    <row r="212" spans="1:3">
      <c r="A212" s="1" t="s">
        <v>1189</v>
      </c>
      <c r="B212" s="1" t="s">
        <v>1318</v>
      </c>
      <c r="C212" s="1">
        <f t="shared" si="3"/>
        <v>1</v>
      </c>
    </row>
    <row r="213" spans="1:3">
      <c r="A213" s="1" t="s">
        <v>1192</v>
      </c>
      <c r="B213" s="1" t="s">
        <v>1319</v>
      </c>
      <c r="C213" s="1">
        <f t="shared" si="3"/>
        <v>1</v>
      </c>
    </row>
    <row r="214" spans="1:3">
      <c r="A214" s="1" t="s">
        <v>1156</v>
      </c>
      <c r="B214" s="1" t="s">
        <v>1320</v>
      </c>
      <c r="C214" s="1">
        <f t="shared" si="3"/>
        <v>1</v>
      </c>
    </row>
    <row r="215" spans="1:3">
      <c r="A215" s="1" t="s">
        <v>1225</v>
      </c>
      <c r="B215" s="1" t="s">
        <v>1321</v>
      </c>
      <c r="C215" s="1">
        <f t="shared" si="3"/>
        <v>1</v>
      </c>
    </row>
    <row r="216" spans="1:3">
      <c r="A216" s="1" t="s">
        <v>1169</v>
      </c>
      <c r="B216" s="1" t="s">
        <v>1323</v>
      </c>
      <c r="C216" s="1">
        <f t="shared" si="3"/>
        <v>1</v>
      </c>
    </row>
    <row r="217" spans="1:3">
      <c r="A217" s="1" t="s">
        <v>1155</v>
      </c>
      <c r="B217" s="1" t="s">
        <v>1324</v>
      </c>
      <c r="C217" s="1">
        <f t="shared" si="3"/>
        <v>1</v>
      </c>
    </row>
    <row r="218" spans="1:3">
      <c r="A218" s="1" t="s">
        <v>1167</v>
      </c>
      <c r="B218" s="1" t="s">
        <v>1325</v>
      </c>
      <c r="C218" s="1">
        <f t="shared" si="3"/>
        <v>1</v>
      </c>
    </row>
    <row r="219" spans="1:3">
      <c r="A219" s="1" t="s">
        <v>1170</v>
      </c>
      <c r="B219" s="1" t="s">
        <v>1326</v>
      </c>
      <c r="C219" s="1">
        <f t="shared" si="3"/>
        <v>1</v>
      </c>
    </row>
    <row r="220" spans="1:3">
      <c r="A220" s="1" t="s">
        <v>1226</v>
      </c>
      <c r="B220" s="1" t="s">
        <v>1327</v>
      </c>
      <c r="C220" s="1">
        <f t="shared" si="3"/>
        <v>1</v>
      </c>
    </row>
    <row r="221" spans="1:3">
      <c r="A221" s="1" t="s">
        <v>1155</v>
      </c>
      <c r="B221" s="1" t="s">
        <v>1328</v>
      </c>
      <c r="C221" s="1">
        <f t="shared" si="3"/>
        <v>1</v>
      </c>
    </row>
    <row r="222" spans="1:3">
      <c r="A222" s="1" t="s">
        <v>1213</v>
      </c>
      <c r="B222" s="1" t="s">
        <v>1329</v>
      </c>
      <c r="C222" s="1">
        <f t="shared" si="3"/>
        <v>1</v>
      </c>
    </row>
    <row r="223" spans="1:3">
      <c r="A223" s="1" t="s">
        <v>1166</v>
      </c>
      <c r="B223" s="1" t="s">
        <v>1331</v>
      </c>
      <c r="C223" s="1">
        <f t="shared" si="3"/>
        <v>1</v>
      </c>
    </row>
    <row r="224" spans="1:3">
      <c r="A224" s="1" t="s">
        <v>1156</v>
      </c>
      <c r="B224" s="1" t="s">
        <v>1332</v>
      </c>
      <c r="C224" s="1">
        <f t="shared" si="3"/>
        <v>1</v>
      </c>
    </row>
    <row r="225" spans="1:3">
      <c r="A225" s="1" t="s">
        <v>1227</v>
      </c>
      <c r="B225" s="1" t="s">
        <v>1334</v>
      </c>
      <c r="C225" s="1">
        <f t="shared" si="3"/>
        <v>1</v>
      </c>
    </row>
    <row r="226" spans="1:3">
      <c r="A226" s="1" t="s">
        <v>1178</v>
      </c>
      <c r="B226" s="1" t="s">
        <v>1337</v>
      </c>
      <c r="C226" s="1">
        <f t="shared" si="3"/>
        <v>1</v>
      </c>
    </row>
    <row r="227" spans="1:3">
      <c r="A227" s="1" t="s">
        <v>1161</v>
      </c>
      <c r="B227" s="1" t="s">
        <v>1338</v>
      </c>
      <c r="C227" s="1">
        <f t="shared" si="3"/>
        <v>1</v>
      </c>
    </row>
    <row r="228" spans="1:3">
      <c r="A228" s="1" t="s">
        <v>1167</v>
      </c>
      <c r="B228" s="1" t="s">
        <v>1339</v>
      </c>
      <c r="C228" s="1">
        <f t="shared" si="3"/>
        <v>1</v>
      </c>
    </row>
    <row r="229" spans="1:3">
      <c r="A229" s="1" t="s">
        <v>1228</v>
      </c>
      <c r="B229" s="1" t="s">
        <v>1340</v>
      </c>
      <c r="C229" s="1">
        <f t="shared" si="3"/>
        <v>1</v>
      </c>
    </row>
    <row r="230" spans="1:3">
      <c r="A230" s="1" t="s">
        <v>1229</v>
      </c>
      <c r="B230" s="1" t="s">
        <v>1341</v>
      </c>
      <c r="C230" s="1">
        <f t="shared" si="3"/>
        <v>1</v>
      </c>
    </row>
    <row r="231" spans="1:3">
      <c r="A231" s="1" t="s">
        <v>1173</v>
      </c>
      <c r="B231" s="1" t="s">
        <v>1342</v>
      </c>
      <c r="C231" s="1">
        <f t="shared" si="3"/>
        <v>1</v>
      </c>
    </row>
    <row r="232" spans="1:3">
      <c r="A232" s="1" t="s">
        <v>1169</v>
      </c>
      <c r="B232" s="1" t="s">
        <v>1344</v>
      </c>
      <c r="C232" s="1">
        <f t="shared" si="3"/>
        <v>1</v>
      </c>
    </row>
    <row r="233" spans="1:3">
      <c r="A233" s="1" t="s">
        <v>1230</v>
      </c>
      <c r="B233" s="1" t="s">
        <v>1345</v>
      </c>
      <c r="C233" s="1">
        <f t="shared" si="3"/>
        <v>1</v>
      </c>
    </row>
    <row r="234" spans="1:3">
      <c r="A234" s="1" t="s">
        <v>1204</v>
      </c>
      <c r="B234" s="1" t="s">
        <v>1346</v>
      </c>
      <c r="C234" s="1">
        <f t="shared" si="3"/>
        <v>1</v>
      </c>
    </row>
    <row r="235" spans="1:3">
      <c r="A235" s="1" t="s">
        <v>1153</v>
      </c>
      <c r="B235" s="1" t="s">
        <v>1347</v>
      </c>
      <c r="C235" s="1">
        <f t="shared" si="3"/>
        <v>1</v>
      </c>
    </row>
    <row r="236" spans="1:3">
      <c r="A236" s="1" t="s">
        <v>1231</v>
      </c>
      <c r="B236" s="1" t="s">
        <v>1350</v>
      </c>
      <c r="C236" s="1">
        <f t="shared" si="3"/>
        <v>1</v>
      </c>
    </row>
    <row r="237" spans="1:3">
      <c r="A237" s="1" t="s">
        <v>1149</v>
      </c>
      <c r="B237" s="1" t="s">
        <v>1354</v>
      </c>
      <c r="C237" s="1">
        <f t="shared" si="3"/>
        <v>1</v>
      </c>
    </row>
    <row r="238" spans="1:3">
      <c r="A238" s="1" t="s">
        <v>1232</v>
      </c>
      <c r="B238" s="1" t="s">
        <v>1355</v>
      </c>
      <c r="C238" s="1">
        <f t="shared" si="3"/>
        <v>1</v>
      </c>
    </row>
    <row r="239" spans="1:3">
      <c r="A239" s="1" t="s">
        <v>1233</v>
      </c>
      <c r="B239" s="1" t="s">
        <v>1478</v>
      </c>
      <c r="C239" s="1">
        <f t="shared" si="3"/>
        <v>1</v>
      </c>
    </row>
    <row r="240" spans="1:3">
      <c r="A240" s="1" t="s">
        <v>1234</v>
      </c>
      <c r="B240" s="1" t="s">
        <v>1479</v>
      </c>
      <c r="C240" s="1">
        <f t="shared" si="3"/>
        <v>1</v>
      </c>
    </row>
    <row r="241" spans="1:3">
      <c r="A241" s="1" t="s">
        <v>1235</v>
      </c>
      <c r="B241" s="1" t="s">
        <v>1357</v>
      </c>
      <c r="C241" s="1">
        <f t="shared" si="3"/>
        <v>1</v>
      </c>
    </row>
    <row r="242" spans="1:3">
      <c r="A242" s="1" t="s">
        <v>1236</v>
      </c>
      <c r="B242" s="1" t="s">
        <v>1358</v>
      </c>
      <c r="C242" s="1">
        <f t="shared" si="3"/>
        <v>1</v>
      </c>
    </row>
    <row r="243" spans="1:3">
      <c r="A243" s="1" t="s">
        <v>1237</v>
      </c>
      <c r="B243" s="1" t="s">
        <v>1360</v>
      </c>
      <c r="C243" s="1">
        <f t="shared" si="3"/>
        <v>1</v>
      </c>
    </row>
    <row r="244" spans="1:3">
      <c r="A244" s="1" t="s">
        <v>1238</v>
      </c>
      <c r="B244" s="1" t="s">
        <v>1362</v>
      </c>
      <c r="C244" s="1">
        <f t="shared" si="3"/>
        <v>1</v>
      </c>
    </row>
    <row r="245" spans="1:3">
      <c r="A245" s="1" t="s">
        <v>1239</v>
      </c>
      <c r="B245" s="1" t="s">
        <v>1363</v>
      </c>
      <c r="C245" s="1">
        <f t="shared" si="3"/>
        <v>1</v>
      </c>
    </row>
    <row r="246" spans="1:3">
      <c r="A246" s="1" t="s">
        <v>1240</v>
      </c>
      <c r="B246" s="1" t="s">
        <v>1364</v>
      </c>
      <c r="C246" s="1">
        <f t="shared" si="3"/>
        <v>1</v>
      </c>
    </row>
    <row r="247" spans="1:3">
      <c r="A247" s="1" t="s">
        <v>1166</v>
      </c>
      <c r="B247" s="1" t="s">
        <v>1365</v>
      </c>
      <c r="C247" s="1">
        <f t="shared" si="3"/>
        <v>1</v>
      </c>
    </row>
    <row r="248" spans="1:3">
      <c r="A248" s="1" t="s">
        <v>1263</v>
      </c>
      <c r="B248" s="1" t="s">
        <v>1366</v>
      </c>
      <c r="C248" s="1">
        <f t="shared" si="3"/>
        <v>1</v>
      </c>
    </row>
    <row r="249" spans="1:3">
      <c r="A249" s="1" t="s">
        <v>1154</v>
      </c>
      <c r="B249" s="1" t="s">
        <v>1367</v>
      </c>
      <c r="C249" s="1">
        <f t="shared" si="3"/>
        <v>1</v>
      </c>
    </row>
    <row r="250" spans="1:3">
      <c r="A250" s="1" t="s">
        <v>1476</v>
      </c>
      <c r="B250" s="1" t="s">
        <v>1368</v>
      </c>
      <c r="C250" s="1">
        <f t="shared" si="3"/>
        <v>1</v>
      </c>
    </row>
    <row r="251" spans="1:3">
      <c r="A251" s="1" t="s">
        <v>1241</v>
      </c>
      <c r="B251" s="1" t="s">
        <v>1370</v>
      </c>
      <c r="C251" s="1">
        <f t="shared" si="3"/>
        <v>1</v>
      </c>
    </row>
    <row r="252" spans="1:3">
      <c r="A252" s="1" t="s">
        <v>1170</v>
      </c>
      <c r="B252" s="1" t="s">
        <v>1371</v>
      </c>
      <c r="C252" s="1">
        <f t="shared" si="3"/>
        <v>1</v>
      </c>
    </row>
    <row r="253" spans="1:3">
      <c r="A253" s="1" t="s">
        <v>1242</v>
      </c>
      <c r="B253" s="1" t="s">
        <v>1372</v>
      </c>
      <c r="C253" s="1">
        <f t="shared" si="3"/>
        <v>1</v>
      </c>
    </row>
    <row r="254" spans="1:3">
      <c r="A254" s="1" t="s">
        <v>1155</v>
      </c>
      <c r="B254" s="1" t="s">
        <v>1373</v>
      </c>
      <c r="C254" s="1">
        <f t="shared" si="3"/>
        <v>1</v>
      </c>
    </row>
    <row r="255" spans="1:3">
      <c r="A255" s="1" t="s">
        <v>1224</v>
      </c>
      <c r="B255" s="1" t="s">
        <v>1374</v>
      </c>
      <c r="C255" s="1">
        <f t="shared" si="3"/>
        <v>1</v>
      </c>
    </row>
    <row r="256" spans="1:3">
      <c r="A256" s="1" t="s">
        <v>1203</v>
      </c>
      <c r="B256" s="1" t="s">
        <v>1375</v>
      </c>
      <c r="C256" s="1">
        <f t="shared" si="3"/>
        <v>1</v>
      </c>
    </row>
    <row r="257" spans="1:3">
      <c r="A257" s="1" t="s">
        <v>1241</v>
      </c>
      <c r="B257" s="1" t="s">
        <v>1377</v>
      </c>
      <c r="C257" s="1">
        <f t="shared" si="3"/>
        <v>1</v>
      </c>
    </row>
    <row r="258" spans="1:3">
      <c r="A258" s="1" t="s">
        <v>1243</v>
      </c>
      <c r="B258" s="1" t="s">
        <v>1378</v>
      </c>
      <c r="C258" s="1">
        <f t="shared" ref="C258:C321" si="4">COUNTIFS(A:A,B258)</f>
        <v>1</v>
      </c>
    </row>
    <row r="259" spans="1:3">
      <c r="A259" s="1" t="s">
        <v>1198</v>
      </c>
      <c r="B259" s="1" t="s">
        <v>1379</v>
      </c>
      <c r="C259" s="1">
        <f t="shared" si="4"/>
        <v>1</v>
      </c>
    </row>
    <row r="260" spans="1:3">
      <c r="A260" s="1" t="s">
        <v>1154</v>
      </c>
      <c r="B260" s="1" t="s">
        <v>1380</v>
      </c>
      <c r="C260" s="1">
        <f t="shared" si="4"/>
        <v>1</v>
      </c>
    </row>
    <row r="261" spans="1:3">
      <c r="A261" s="1" t="s">
        <v>1178</v>
      </c>
      <c r="B261" s="1" t="s">
        <v>1381</v>
      </c>
      <c r="C261" s="1">
        <f t="shared" si="4"/>
        <v>1</v>
      </c>
    </row>
    <row r="262" spans="1:3">
      <c r="A262" s="1" t="s">
        <v>1156</v>
      </c>
      <c r="B262" s="1" t="s">
        <v>1383</v>
      </c>
      <c r="C262" s="1">
        <f t="shared" si="4"/>
        <v>1</v>
      </c>
    </row>
    <row r="263" spans="1:3">
      <c r="A263" s="1" t="s">
        <v>1213</v>
      </c>
      <c r="B263" s="1" t="s">
        <v>1384</v>
      </c>
      <c r="C263" s="1">
        <f t="shared" si="4"/>
        <v>1</v>
      </c>
    </row>
    <row r="264" spans="1:3">
      <c r="A264" s="1" t="s">
        <v>1244</v>
      </c>
      <c r="B264" s="1" t="s">
        <v>1385</v>
      </c>
      <c r="C264" s="1">
        <f t="shared" si="4"/>
        <v>1</v>
      </c>
    </row>
    <row r="265" spans="1:3">
      <c r="A265" s="1" t="s">
        <v>1245</v>
      </c>
      <c r="B265" s="1" t="s">
        <v>1386</v>
      </c>
      <c r="C265" s="1">
        <f t="shared" si="4"/>
        <v>1</v>
      </c>
    </row>
    <row r="266" spans="1:3">
      <c r="A266" s="1" t="s">
        <v>1246</v>
      </c>
      <c r="B266" s="1" t="s">
        <v>1486</v>
      </c>
      <c r="C266" s="1">
        <f t="shared" si="4"/>
        <v>1</v>
      </c>
    </row>
    <row r="267" spans="1:3">
      <c r="A267" s="1" t="s">
        <v>1247</v>
      </c>
      <c r="B267" s="1" t="s">
        <v>1388</v>
      </c>
      <c r="C267" s="1">
        <f t="shared" si="4"/>
        <v>1</v>
      </c>
    </row>
    <row r="268" spans="1:3">
      <c r="A268" s="1" t="s">
        <v>1194</v>
      </c>
      <c r="B268" s="1" t="s">
        <v>1389</v>
      </c>
      <c r="C268" s="1">
        <f t="shared" si="4"/>
        <v>1</v>
      </c>
    </row>
    <row r="269" spans="1:3">
      <c r="A269" s="1" t="s">
        <v>1248</v>
      </c>
      <c r="B269" s="1" t="s">
        <v>1390</v>
      </c>
      <c r="C269" s="1">
        <f t="shared" si="4"/>
        <v>1</v>
      </c>
    </row>
    <row r="270" spans="1:3">
      <c r="A270" s="1" t="s">
        <v>1249</v>
      </c>
      <c r="B270" s="1" t="s">
        <v>1391</v>
      </c>
      <c r="C270" s="1">
        <f t="shared" si="4"/>
        <v>1</v>
      </c>
    </row>
    <row r="271" spans="1:3">
      <c r="A271" s="1" t="s">
        <v>1156</v>
      </c>
      <c r="B271" s="1" t="s">
        <v>1392</v>
      </c>
      <c r="C271" s="1">
        <f t="shared" si="4"/>
        <v>1</v>
      </c>
    </row>
    <row r="272" spans="1:3">
      <c r="A272" s="1" t="s">
        <v>1215</v>
      </c>
      <c r="B272" s="1" t="s">
        <v>1393</v>
      </c>
      <c r="C272" s="1">
        <f t="shared" si="4"/>
        <v>1</v>
      </c>
    </row>
    <row r="273" spans="1:3">
      <c r="A273" s="1" t="s">
        <v>1154</v>
      </c>
      <c r="B273" s="1" t="s">
        <v>1394</v>
      </c>
      <c r="C273" s="1">
        <f t="shared" si="4"/>
        <v>1</v>
      </c>
    </row>
    <row r="274" spans="1:3">
      <c r="A274" s="1" t="s">
        <v>1250</v>
      </c>
      <c r="B274" s="1" t="s">
        <v>1395</v>
      </c>
      <c r="C274" s="1">
        <f t="shared" si="4"/>
        <v>1</v>
      </c>
    </row>
    <row r="275" spans="1:3">
      <c r="A275" s="1" t="s">
        <v>1193</v>
      </c>
      <c r="B275" s="1" t="s">
        <v>1396</v>
      </c>
      <c r="C275" s="1">
        <f t="shared" si="4"/>
        <v>1</v>
      </c>
    </row>
    <row r="276" spans="1:3">
      <c r="A276" s="1" t="s">
        <v>1213</v>
      </c>
      <c r="B276" s="1" t="s">
        <v>1397</v>
      </c>
      <c r="C276" s="1">
        <f t="shared" si="4"/>
        <v>1</v>
      </c>
    </row>
    <row r="277" spans="1:3">
      <c r="A277" s="1" t="s">
        <v>1204</v>
      </c>
      <c r="B277" s="1" t="s">
        <v>1398</v>
      </c>
      <c r="C277" s="1">
        <f t="shared" si="4"/>
        <v>1</v>
      </c>
    </row>
    <row r="278" spans="1:3">
      <c r="A278" s="1" t="s">
        <v>1160</v>
      </c>
      <c r="B278" s="1" t="s">
        <v>1399</v>
      </c>
      <c r="C278" s="1">
        <f t="shared" si="4"/>
        <v>1</v>
      </c>
    </row>
    <row r="279" spans="1:3">
      <c r="A279" s="1" t="s">
        <v>1251</v>
      </c>
      <c r="B279" s="1" t="s">
        <v>1400</v>
      </c>
      <c r="C279" s="1">
        <f t="shared" si="4"/>
        <v>1</v>
      </c>
    </row>
    <row r="280" spans="1:3">
      <c r="A280" s="1" t="s">
        <v>1220</v>
      </c>
      <c r="B280" s="1" t="s">
        <v>1401</v>
      </c>
      <c r="C280" s="1">
        <f t="shared" si="4"/>
        <v>1</v>
      </c>
    </row>
    <row r="281" spans="1:3">
      <c r="A281" s="1" t="s">
        <v>1214</v>
      </c>
      <c r="B281" s="1" t="s">
        <v>1402</v>
      </c>
      <c r="C281" s="1">
        <f t="shared" si="4"/>
        <v>1</v>
      </c>
    </row>
    <row r="282" spans="1:3">
      <c r="A282" s="1" t="s">
        <v>1201</v>
      </c>
      <c r="B282" s="1" t="s">
        <v>1404</v>
      </c>
      <c r="C282" s="1">
        <f t="shared" si="4"/>
        <v>1</v>
      </c>
    </row>
    <row r="283" spans="1:3">
      <c r="A283" s="1" t="s">
        <v>1145</v>
      </c>
      <c r="B283" s="1" t="s">
        <v>1405</v>
      </c>
      <c r="C283" s="1">
        <f t="shared" si="4"/>
        <v>1</v>
      </c>
    </row>
    <row r="284" spans="1:3">
      <c r="A284" s="1" t="s">
        <v>1198</v>
      </c>
      <c r="B284" s="1" t="s">
        <v>1406</v>
      </c>
      <c r="C284" s="1">
        <f t="shared" si="4"/>
        <v>1</v>
      </c>
    </row>
    <row r="285" spans="1:3">
      <c r="A285" s="1" t="s">
        <v>1213</v>
      </c>
      <c r="B285" s="1" t="s">
        <v>1409</v>
      </c>
      <c r="C285" s="1">
        <f t="shared" si="4"/>
        <v>1</v>
      </c>
    </row>
    <row r="286" spans="1:3">
      <c r="A286" s="1" t="s">
        <v>1252</v>
      </c>
      <c r="B286" s="1" t="s">
        <v>1410</v>
      </c>
      <c r="C286" s="1">
        <f t="shared" si="4"/>
        <v>1</v>
      </c>
    </row>
    <row r="287" spans="1:3">
      <c r="A287" s="1" t="s">
        <v>1187</v>
      </c>
      <c r="B287" s="1" t="s">
        <v>1411</v>
      </c>
      <c r="C287" s="1">
        <f t="shared" si="4"/>
        <v>1</v>
      </c>
    </row>
    <row r="288" spans="1:3">
      <c r="A288" s="1" t="s">
        <v>1156</v>
      </c>
      <c r="B288" s="1" t="s">
        <v>1413</v>
      </c>
      <c r="C288" s="1">
        <f t="shared" si="4"/>
        <v>1</v>
      </c>
    </row>
    <row r="289" spans="1:3">
      <c r="A289" s="1" t="s">
        <v>1189</v>
      </c>
      <c r="B289" s="1" t="s">
        <v>1414</v>
      </c>
      <c r="C289" s="1">
        <f t="shared" si="4"/>
        <v>1</v>
      </c>
    </row>
    <row r="290" spans="1:3">
      <c r="A290" s="1" t="s">
        <v>1155</v>
      </c>
      <c r="B290" s="1" t="s">
        <v>1415</v>
      </c>
      <c r="C290" s="1">
        <f t="shared" si="4"/>
        <v>1</v>
      </c>
    </row>
    <row r="291" spans="1:3">
      <c r="A291" s="1" t="s">
        <v>1253</v>
      </c>
      <c r="B291" s="1" t="s">
        <v>1417</v>
      </c>
      <c r="C291" s="1">
        <f t="shared" si="4"/>
        <v>1</v>
      </c>
    </row>
    <row r="292" spans="1:3">
      <c r="A292" s="1" t="s">
        <v>1254</v>
      </c>
      <c r="B292" s="1" t="s">
        <v>1418</v>
      </c>
      <c r="C292" s="1">
        <f t="shared" si="4"/>
        <v>1</v>
      </c>
    </row>
    <row r="293" spans="1:3">
      <c r="A293" s="1" t="s">
        <v>1223</v>
      </c>
      <c r="B293" s="1" t="s">
        <v>1419</v>
      </c>
      <c r="C293" s="1">
        <f t="shared" si="4"/>
        <v>1</v>
      </c>
    </row>
    <row r="294" spans="1:3">
      <c r="A294" s="1" t="s">
        <v>1213</v>
      </c>
      <c r="B294" s="1" t="s">
        <v>1421</v>
      </c>
      <c r="C294" s="1">
        <f t="shared" si="4"/>
        <v>1</v>
      </c>
    </row>
    <row r="295" spans="1:3">
      <c r="A295" s="1" t="s">
        <v>1255</v>
      </c>
      <c r="B295" s="1" t="s">
        <v>1422</v>
      </c>
      <c r="C295" s="1">
        <f t="shared" si="4"/>
        <v>1</v>
      </c>
    </row>
    <row r="296" spans="1:3">
      <c r="A296" s="1" t="s">
        <v>1207</v>
      </c>
      <c r="B296" s="1" t="s">
        <v>1423</v>
      </c>
      <c r="C296" s="1">
        <f t="shared" si="4"/>
        <v>1</v>
      </c>
    </row>
    <row r="297" spans="1:3">
      <c r="A297" s="1" t="s">
        <v>1256</v>
      </c>
      <c r="B297" s="1" t="s">
        <v>1424</v>
      </c>
      <c r="C297" s="1">
        <f t="shared" si="4"/>
        <v>1</v>
      </c>
    </row>
    <row r="298" spans="1:3">
      <c r="A298" s="1" t="s">
        <v>1257</v>
      </c>
      <c r="B298" s="1" t="s">
        <v>1425</v>
      </c>
      <c r="C298" s="1">
        <f t="shared" si="4"/>
        <v>1</v>
      </c>
    </row>
    <row r="299" spans="1:3">
      <c r="A299" s="1" t="s">
        <v>1214</v>
      </c>
      <c r="B299" s="1" t="s">
        <v>1426</v>
      </c>
      <c r="C299" s="1">
        <f t="shared" si="4"/>
        <v>1</v>
      </c>
    </row>
    <row r="300" spans="1:3">
      <c r="A300" s="1" t="s">
        <v>1258</v>
      </c>
      <c r="B300" s="1" t="s">
        <v>985</v>
      </c>
      <c r="C300" s="1">
        <f t="shared" si="4"/>
        <v>1</v>
      </c>
    </row>
    <row r="301" spans="1:3">
      <c r="A301" s="1" t="s">
        <v>1198</v>
      </c>
      <c r="B301" s="1" t="s">
        <v>1427</v>
      </c>
      <c r="C301" s="1">
        <f t="shared" si="4"/>
        <v>1</v>
      </c>
    </row>
    <row r="302" spans="1:3">
      <c r="A302" s="1" t="s">
        <v>1154</v>
      </c>
      <c r="B302" s="1" t="s">
        <v>1428</v>
      </c>
      <c r="C302" s="1">
        <f t="shared" si="4"/>
        <v>1</v>
      </c>
    </row>
    <row r="303" spans="1:3">
      <c r="A303" s="1" t="s">
        <v>1259</v>
      </c>
      <c r="B303" s="1" t="s">
        <v>1429</v>
      </c>
      <c r="C303" s="1">
        <f t="shared" si="4"/>
        <v>1</v>
      </c>
    </row>
    <row r="304" spans="1:3">
      <c r="A304" s="1" t="s">
        <v>1155</v>
      </c>
      <c r="B304" s="1" t="s">
        <v>1431</v>
      </c>
      <c r="C304" s="1">
        <f t="shared" si="4"/>
        <v>1</v>
      </c>
    </row>
    <row r="305" spans="1:3">
      <c r="A305" s="1" t="s">
        <v>1223</v>
      </c>
      <c r="B305" s="1" t="s">
        <v>1432</v>
      </c>
      <c r="C305" s="1">
        <f t="shared" si="4"/>
        <v>1</v>
      </c>
    </row>
    <row r="306" spans="1:3">
      <c r="A306" s="1" t="s">
        <v>1213</v>
      </c>
      <c r="B306" s="1" t="s">
        <v>1433</v>
      </c>
      <c r="C306" s="1">
        <f t="shared" si="4"/>
        <v>1</v>
      </c>
    </row>
    <row r="307" spans="1:3">
      <c r="A307" s="1" t="s">
        <v>1260</v>
      </c>
      <c r="B307" s="1" t="s">
        <v>1434</v>
      </c>
      <c r="C307" s="1">
        <f t="shared" si="4"/>
        <v>1</v>
      </c>
    </row>
    <row r="308" spans="1:3">
      <c r="A308" s="1" t="s">
        <v>1261</v>
      </c>
      <c r="B308" s="1" t="s">
        <v>1435</v>
      </c>
      <c r="C308" s="1">
        <f t="shared" si="4"/>
        <v>1</v>
      </c>
    </row>
    <row r="309" spans="1:3">
      <c r="A309" s="1" t="s">
        <v>1262</v>
      </c>
      <c r="B309" s="1" t="s">
        <v>1436</v>
      </c>
      <c r="C309" s="1">
        <f t="shared" si="4"/>
        <v>1</v>
      </c>
    </row>
    <row r="310" spans="1:3">
      <c r="A310" s="1" t="s">
        <v>1190</v>
      </c>
      <c r="B310" s="1" t="s">
        <v>1437</v>
      </c>
      <c r="C310" s="1">
        <f t="shared" si="4"/>
        <v>1</v>
      </c>
    </row>
    <row r="311" spans="1:3">
      <c r="A311" s="1" t="s">
        <v>1263</v>
      </c>
      <c r="B311" s="1" t="s">
        <v>1438</v>
      </c>
      <c r="C311" s="1">
        <f t="shared" si="4"/>
        <v>1</v>
      </c>
    </row>
    <row r="312" spans="1:3">
      <c r="A312" s="1" t="s">
        <v>1209</v>
      </c>
      <c r="B312" s="1" t="s">
        <v>1439</v>
      </c>
      <c r="C312" s="1">
        <f t="shared" si="4"/>
        <v>1</v>
      </c>
    </row>
    <row r="313" spans="1:3">
      <c r="A313" s="1" t="s">
        <v>1156</v>
      </c>
      <c r="B313" s="1" t="s">
        <v>1441</v>
      </c>
      <c r="C313" s="1">
        <f t="shared" si="4"/>
        <v>1</v>
      </c>
    </row>
    <row r="314" spans="1:3">
      <c r="A314" s="1" t="s">
        <v>1264</v>
      </c>
      <c r="B314" s="1" t="s">
        <v>1442</v>
      </c>
      <c r="C314" s="1">
        <f t="shared" si="4"/>
        <v>1</v>
      </c>
    </row>
    <row r="315" spans="1:3">
      <c r="A315" s="1" t="s">
        <v>1265</v>
      </c>
      <c r="B315" s="1" t="s">
        <v>1443</v>
      </c>
      <c r="C315" s="1">
        <f t="shared" si="4"/>
        <v>1</v>
      </c>
    </row>
    <row r="316" spans="1:3">
      <c r="A316" s="1" t="s">
        <v>1220</v>
      </c>
      <c r="B316" s="1" t="s">
        <v>1444</v>
      </c>
      <c r="C316" s="1">
        <f t="shared" si="4"/>
        <v>1</v>
      </c>
    </row>
    <row r="317" spans="1:3">
      <c r="A317" s="1" t="s">
        <v>1213</v>
      </c>
      <c r="B317" s="1" t="s">
        <v>1445</v>
      </c>
      <c r="C317" s="1">
        <f t="shared" si="4"/>
        <v>1</v>
      </c>
    </row>
    <row r="318" spans="1:3">
      <c r="A318" s="1" t="s">
        <v>1170</v>
      </c>
      <c r="B318" s="1" t="s">
        <v>1447</v>
      </c>
      <c r="C318" s="1">
        <f t="shared" si="4"/>
        <v>1</v>
      </c>
    </row>
    <row r="319" spans="1:3">
      <c r="A319" s="1" t="s">
        <v>1266</v>
      </c>
      <c r="B319" s="1" t="s">
        <v>1448</v>
      </c>
      <c r="C319" s="1">
        <f t="shared" si="4"/>
        <v>1</v>
      </c>
    </row>
    <row r="320" spans="1:3">
      <c r="A320" s="1" t="s">
        <v>1214</v>
      </c>
      <c r="B320" s="1" t="s">
        <v>1450</v>
      </c>
      <c r="C320" s="1">
        <f t="shared" si="4"/>
        <v>1</v>
      </c>
    </row>
    <row r="321" spans="1:3">
      <c r="A321" s="1" t="s">
        <v>1156</v>
      </c>
      <c r="B321" s="1" t="s">
        <v>1451</v>
      </c>
      <c r="C321" s="1">
        <f t="shared" si="4"/>
        <v>1</v>
      </c>
    </row>
    <row r="322" spans="1:3">
      <c r="A322" s="1" t="s">
        <v>1215</v>
      </c>
      <c r="B322" s="1" t="s">
        <v>1452</v>
      </c>
      <c r="C322" s="1">
        <f t="shared" ref="C322:C337" si="5">COUNTIFS(A:A,B322)</f>
        <v>1</v>
      </c>
    </row>
    <row r="323" spans="1:3">
      <c r="A323" s="1" t="s">
        <v>1267</v>
      </c>
      <c r="B323" s="1" t="s">
        <v>1453</v>
      </c>
      <c r="C323" s="1">
        <f t="shared" si="5"/>
        <v>1</v>
      </c>
    </row>
    <row r="324" spans="1:3">
      <c r="A324" s="1" t="s">
        <v>1184</v>
      </c>
      <c r="B324" s="1" t="s">
        <v>1474</v>
      </c>
      <c r="C324" s="1">
        <f t="shared" si="5"/>
        <v>1</v>
      </c>
    </row>
    <row r="325" spans="1:3">
      <c r="A325" s="1" t="s">
        <v>1157</v>
      </c>
      <c r="B325" s="1" t="s">
        <v>1454</v>
      </c>
      <c r="C325" s="1">
        <f t="shared" si="5"/>
        <v>1</v>
      </c>
    </row>
    <row r="326" spans="1:3">
      <c r="A326" s="1" t="s">
        <v>1212</v>
      </c>
      <c r="B326" s="1" t="s">
        <v>1455</v>
      </c>
      <c r="C326" s="1">
        <f t="shared" si="5"/>
        <v>1</v>
      </c>
    </row>
    <row r="327" spans="1:3">
      <c r="A327" s="1" t="s">
        <v>1156</v>
      </c>
      <c r="B327" s="1" t="s">
        <v>1456</v>
      </c>
      <c r="C327" s="1">
        <f t="shared" si="5"/>
        <v>1</v>
      </c>
    </row>
    <row r="328" spans="1:3">
      <c r="A328" s="1" t="s">
        <v>1145</v>
      </c>
      <c r="B328" s="1" t="s">
        <v>1457</v>
      </c>
      <c r="C328" s="1">
        <f t="shared" si="5"/>
        <v>1</v>
      </c>
    </row>
    <row r="329" spans="1:3">
      <c r="A329" s="1" t="s">
        <v>1143</v>
      </c>
      <c r="B329" s="1" t="s">
        <v>1458</v>
      </c>
      <c r="C329" s="1">
        <f t="shared" si="5"/>
        <v>1</v>
      </c>
    </row>
    <row r="330" spans="1:3">
      <c r="A330" s="1" t="s">
        <v>1156</v>
      </c>
      <c r="B330" s="1" t="s">
        <v>1475</v>
      </c>
      <c r="C330" s="1">
        <f t="shared" si="5"/>
        <v>1</v>
      </c>
    </row>
    <row r="331" spans="1:3">
      <c r="A331" s="1" t="s">
        <v>1146</v>
      </c>
      <c r="B331" s="1" t="s">
        <v>1462</v>
      </c>
      <c r="C331" s="1">
        <f t="shared" si="5"/>
        <v>1</v>
      </c>
    </row>
    <row r="332" spans="1:3">
      <c r="A332" s="1" t="s">
        <v>1147</v>
      </c>
      <c r="B332" s="1" t="s">
        <v>1463</v>
      </c>
      <c r="C332" s="1">
        <f t="shared" si="5"/>
        <v>1</v>
      </c>
    </row>
    <row r="333" spans="1:3">
      <c r="A333" s="1" t="s">
        <v>1268</v>
      </c>
      <c r="B333" s="1" t="s">
        <v>1481</v>
      </c>
      <c r="C333" s="1">
        <f t="shared" si="5"/>
        <v>1</v>
      </c>
    </row>
    <row r="334" spans="1:3">
      <c r="A334" s="1" t="s">
        <v>1269</v>
      </c>
      <c r="B334" s="1" t="s">
        <v>1482</v>
      </c>
      <c r="C334" s="1">
        <f t="shared" si="5"/>
        <v>1</v>
      </c>
    </row>
    <row r="335" spans="1:3">
      <c r="A335" s="1" t="s">
        <v>1157</v>
      </c>
      <c r="B335" s="1" t="s">
        <v>1468</v>
      </c>
      <c r="C335" s="1">
        <f t="shared" si="5"/>
        <v>1</v>
      </c>
    </row>
    <row r="336" spans="1:3">
      <c r="A336" s="1" t="s">
        <v>1270</v>
      </c>
      <c r="B336" s="1" t="s">
        <v>1469</v>
      </c>
      <c r="C336" s="1">
        <f t="shared" si="5"/>
        <v>1</v>
      </c>
    </row>
    <row r="337" spans="1:3">
      <c r="A337" s="1" t="s">
        <v>1184</v>
      </c>
      <c r="B337" s="1" t="s">
        <v>1470</v>
      </c>
      <c r="C337" s="1">
        <f t="shared" si="5"/>
        <v>1</v>
      </c>
    </row>
    <row r="338" spans="1:3">
      <c r="A338" s="1" t="s">
        <v>1244</v>
      </c>
      <c r="B338"/>
    </row>
    <row r="339" spans="1:3">
      <c r="A339" s="1" t="s">
        <v>1184</v>
      </c>
      <c r="B339"/>
    </row>
    <row r="340" spans="1:3">
      <c r="A340" s="1" t="s">
        <v>1147</v>
      </c>
      <c r="B340"/>
    </row>
    <row r="341" spans="1:3">
      <c r="A341" s="1" t="s">
        <v>1146</v>
      </c>
      <c r="B341"/>
    </row>
    <row r="342" spans="1:3">
      <c r="A342" s="1" t="s">
        <v>1271</v>
      </c>
      <c r="B342"/>
    </row>
    <row r="343" spans="1:3">
      <c r="A343" s="1" t="s">
        <v>1157</v>
      </c>
      <c r="B343"/>
    </row>
    <row r="344" spans="1:3">
      <c r="A344" s="1" t="s">
        <v>1156</v>
      </c>
      <c r="B344"/>
    </row>
    <row r="345" spans="1:3">
      <c r="A345" s="1" t="s">
        <v>1198</v>
      </c>
      <c r="B345"/>
    </row>
    <row r="346" spans="1:3">
      <c r="A346" s="1" t="s">
        <v>1143</v>
      </c>
      <c r="B346"/>
    </row>
    <row r="347" spans="1:3">
      <c r="A347" s="1" t="s">
        <v>1145</v>
      </c>
      <c r="B347"/>
    </row>
    <row r="348" spans="1:3">
      <c r="A348" s="1" t="s">
        <v>1151</v>
      </c>
      <c r="B348"/>
    </row>
    <row r="349" spans="1:3">
      <c r="A349" s="1" t="s">
        <v>1156</v>
      </c>
      <c r="B349"/>
    </row>
    <row r="350" spans="1:3">
      <c r="A350" s="1" t="s">
        <v>1272</v>
      </c>
      <c r="B350"/>
    </row>
    <row r="351" spans="1:3">
      <c r="A351" s="1" t="s">
        <v>1147</v>
      </c>
      <c r="B351"/>
    </row>
    <row r="352" spans="1:3">
      <c r="A352" s="1" t="s">
        <v>1251</v>
      </c>
      <c r="B352"/>
    </row>
    <row r="353" spans="1:2">
      <c r="A353" s="1" t="s">
        <v>1273</v>
      </c>
      <c r="B353"/>
    </row>
    <row r="354" spans="1:2">
      <c r="A354" s="1" t="s">
        <v>1142</v>
      </c>
      <c r="B354"/>
    </row>
    <row r="355" spans="1:2">
      <c r="A355" s="1" t="s">
        <v>1274</v>
      </c>
      <c r="B355"/>
    </row>
    <row r="356" spans="1:2">
      <c r="A356" s="1" t="s">
        <v>1275</v>
      </c>
      <c r="B356"/>
    </row>
    <row r="357" spans="1:2">
      <c r="A357" s="1" t="s">
        <v>1276</v>
      </c>
      <c r="B357"/>
    </row>
    <row r="358" spans="1:2">
      <c r="A358" s="1" t="s">
        <v>1156</v>
      </c>
      <c r="B358"/>
    </row>
    <row r="359" spans="1:2">
      <c r="A359" s="1" t="s">
        <v>1260</v>
      </c>
      <c r="B359"/>
    </row>
    <row r="360" spans="1:2">
      <c r="A360" s="1" t="s">
        <v>1143</v>
      </c>
      <c r="B360"/>
    </row>
    <row r="361" spans="1:2">
      <c r="A361" s="1" t="s">
        <v>1211</v>
      </c>
      <c r="B361"/>
    </row>
    <row r="362" spans="1:2">
      <c r="A362" s="1" t="s">
        <v>1146</v>
      </c>
      <c r="B362"/>
    </row>
    <row r="363" spans="1:2">
      <c r="A363" s="1" t="s">
        <v>1147</v>
      </c>
      <c r="B363"/>
    </row>
    <row r="364" spans="1:2">
      <c r="A364" s="1" t="s">
        <v>1179</v>
      </c>
      <c r="B364"/>
    </row>
    <row r="365" spans="1:2">
      <c r="A365" s="1" t="s">
        <v>1156</v>
      </c>
      <c r="B365"/>
    </row>
    <row r="366" spans="1:2">
      <c r="A366" s="1" t="s">
        <v>1155</v>
      </c>
      <c r="B366"/>
    </row>
    <row r="367" spans="1:2">
      <c r="A367" s="1" t="s">
        <v>1213</v>
      </c>
      <c r="B367"/>
    </row>
    <row r="368" spans="1:2">
      <c r="A368" s="1" t="s">
        <v>1178</v>
      </c>
      <c r="B368"/>
    </row>
    <row r="369" spans="1:2">
      <c r="A369" s="1" t="s">
        <v>1155</v>
      </c>
      <c r="B369"/>
    </row>
    <row r="370" spans="1:2">
      <c r="A370" s="1" t="s">
        <v>1158</v>
      </c>
      <c r="B370"/>
    </row>
    <row r="371" spans="1:2">
      <c r="A371" s="1" t="s">
        <v>1146</v>
      </c>
      <c r="B371"/>
    </row>
    <row r="372" spans="1:2">
      <c r="A372" s="1" t="s">
        <v>1147</v>
      </c>
      <c r="B372"/>
    </row>
    <row r="373" spans="1:2">
      <c r="A373" s="1" t="s">
        <v>1189</v>
      </c>
      <c r="B373"/>
    </row>
    <row r="374" spans="1:2">
      <c r="A374" s="1" t="s">
        <v>1191</v>
      </c>
      <c r="B374"/>
    </row>
    <row r="375" spans="1:2">
      <c r="A375" s="1" t="s">
        <v>1145</v>
      </c>
      <c r="B375"/>
    </row>
    <row r="376" spans="1:2">
      <c r="A376" s="1" t="s">
        <v>1149</v>
      </c>
      <c r="B376"/>
    </row>
    <row r="377" spans="1:2">
      <c r="A377" s="1" t="s">
        <v>1162</v>
      </c>
      <c r="B377"/>
    </row>
    <row r="378" spans="1:2">
      <c r="A378" s="1" t="s">
        <v>1167</v>
      </c>
      <c r="B378"/>
    </row>
    <row r="379" spans="1:2">
      <c r="A379" s="1" t="s">
        <v>1142</v>
      </c>
      <c r="B379"/>
    </row>
    <row r="380" spans="1:2">
      <c r="A380" s="1" t="s">
        <v>1169</v>
      </c>
      <c r="B380"/>
    </row>
    <row r="381" spans="1:2">
      <c r="A381" s="1" t="s">
        <v>1152</v>
      </c>
      <c r="B381"/>
    </row>
    <row r="382" spans="1:2">
      <c r="A382" s="1" t="s">
        <v>1198</v>
      </c>
      <c r="B382"/>
    </row>
    <row r="383" spans="1:2">
      <c r="A383" s="1" t="s">
        <v>1211</v>
      </c>
      <c r="B383"/>
    </row>
    <row r="384" spans="1:2">
      <c r="A384" s="1" t="s">
        <v>1212</v>
      </c>
      <c r="B384"/>
    </row>
    <row r="385" spans="1:2">
      <c r="A385" s="1" t="s">
        <v>1277</v>
      </c>
      <c r="B385"/>
    </row>
    <row r="386" spans="1:2">
      <c r="A386" s="1" t="s">
        <v>1189</v>
      </c>
      <c r="B386"/>
    </row>
    <row r="387" spans="1:2">
      <c r="A387" s="1" t="s">
        <v>4</v>
      </c>
      <c r="B387"/>
    </row>
    <row r="388" spans="1:2">
      <c r="A388" s="1" t="s">
        <v>172</v>
      </c>
      <c r="B388"/>
    </row>
    <row r="389" spans="1:2">
      <c r="A389" s="1" t="s">
        <v>1155</v>
      </c>
      <c r="B389"/>
    </row>
    <row r="390" spans="1:2">
      <c r="A390" s="1" t="s">
        <v>1161</v>
      </c>
      <c r="B390"/>
    </row>
    <row r="391" spans="1:2">
      <c r="A391" s="1" t="s">
        <v>1156</v>
      </c>
      <c r="B391"/>
    </row>
    <row r="392" spans="1:2">
      <c r="A392" s="1" t="s">
        <v>113</v>
      </c>
      <c r="B392"/>
    </row>
    <row r="393" spans="1:2">
      <c r="A393" s="1" t="s">
        <v>729</v>
      </c>
      <c r="B393"/>
    </row>
    <row r="394" spans="1:2">
      <c r="A394" s="1" t="s">
        <v>1212</v>
      </c>
      <c r="B394"/>
    </row>
    <row r="395" spans="1:2">
      <c r="A395" s="1" t="s">
        <v>1183</v>
      </c>
      <c r="B395"/>
    </row>
    <row r="396" spans="1:2">
      <c r="A396" s="1" t="s">
        <v>1156</v>
      </c>
      <c r="B396"/>
    </row>
    <row r="397" spans="1:2">
      <c r="A397" s="1" t="s">
        <v>1279</v>
      </c>
      <c r="B397"/>
    </row>
    <row r="398" spans="1:2">
      <c r="A398" s="1" t="s">
        <v>1246</v>
      </c>
      <c r="B398"/>
    </row>
    <row r="399" spans="1:2">
      <c r="A399" s="1" t="s">
        <v>1280</v>
      </c>
      <c r="B399"/>
    </row>
    <row r="400" spans="1:2">
      <c r="A400" s="1" t="s">
        <v>1161</v>
      </c>
      <c r="B400"/>
    </row>
    <row r="401" spans="1:2">
      <c r="A401" s="1" t="s">
        <v>1281</v>
      </c>
      <c r="B401"/>
    </row>
    <row r="402" spans="1:2">
      <c r="A402" s="1" t="s">
        <v>1183</v>
      </c>
      <c r="B402"/>
    </row>
    <row r="403" spans="1:2">
      <c r="A403" s="1" t="s">
        <v>1184</v>
      </c>
      <c r="B403"/>
    </row>
    <row r="404" spans="1:2">
      <c r="A404" s="1" t="s">
        <v>1156</v>
      </c>
      <c r="B404"/>
    </row>
    <row r="405" spans="1:2">
      <c r="A405" s="1" t="s">
        <v>1212</v>
      </c>
      <c r="B405"/>
    </row>
    <row r="406" spans="1:2">
      <c r="A406" s="1" t="s">
        <v>1282</v>
      </c>
      <c r="B406"/>
    </row>
    <row r="407" spans="1:2">
      <c r="A407" s="1" t="s">
        <v>1147</v>
      </c>
      <c r="B407"/>
    </row>
    <row r="408" spans="1:2">
      <c r="A408" s="1" t="s">
        <v>1260</v>
      </c>
      <c r="B408"/>
    </row>
    <row r="409" spans="1:2">
      <c r="A409" s="1" t="s">
        <v>1156</v>
      </c>
      <c r="B409"/>
    </row>
    <row r="410" spans="1:2">
      <c r="A410" s="1" t="s">
        <v>1184</v>
      </c>
      <c r="B410"/>
    </row>
    <row r="411" spans="1:2">
      <c r="A411" s="1" t="s">
        <v>1198</v>
      </c>
      <c r="B411"/>
    </row>
    <row r="412" spans="1:2">
      <c r="A412" s="1" t="s">
        <v>1283</v>
      </c>
      <c r="B412"/>
    </row>
    <row r="413" spans="1:2">
      <c r="A413" s="1" t="s">
        <v>1204</v>
      </c>
      <c r="B413"/>
    </row>
    <row r="414" spans="1:2">
      <c r="A414" s="1" t="s">
        <v>1178</v>
      </c>
      <c r="B414"/>
    </row>
    <row r="415" spans="1:2">
      <c r="A415" s="1" t="s">
        <v>1212</v>
      </c>
      <c r="B415"/>
    </row>
    <row r="416" spans="1:2">
      <c r="A416" s="1" t="s">
        <v>1184</v>
      </c>
      <c r="B416"/>
    </row>
    <row r="417" spans="1:2">
      <c r="A417" s="1" t="s">
        <v>1220</v>
      </c>
      <c r="B417"/>
    </row>
    <row r="418" spans="1:2">
      <c r="A418" s="1" t="s">
        <v>1159</v>
      </c>
      <c r="B418"/>
    </row>
    <row r="419" spans="1:2">
      <c r="A419" s="1" t="s">
        <v>1155</v>
      </c>
      <c r="B419"/>
    </row>
    <row r="420" spans="1:2">
      <c r="A420" s="1" t="s">
        <v>1149</v>
      </c>
      <c r="B420"/>
    </row>
    <row r="421" spans="1:2">
      <c r="A421" s="1" t="s">
        <v>1212</v>
      </c>
      <c r="B421"/>
    </row>
    <row r="422" spans="1:2">
      <c r="A422" s="1" t="s">
        <v>1198</v>
      </c>
      <c r="B422"/>
    </row>
    <row r="423" spans="1:2">
      <c r="A423" s="1" t="s">
        <v>1152</v>
      </c>
      <c r="B423"/>
    </row>
    <row r="424" spans="1:2">
      <c r="A424" s="1" t="s">
        <v>1211</v>
      </c>
      <c r="B424"/>
    </row>
    <row r="425" spans="1:2">
      <c r="A425" s="1" t="s">
        <v>1259</v>
      </c>
      <c r="B425"/>
    </row>
    <row r="426" spans="1:2">
      <c r="A426" s="1" t="s">
        <v>1260</v>
      </c>
      <c r="B426"/>
    </row>
    <row r="427" spans="1:2">
      <c r="A427" s="1" t="s">
        <v>1198</v>
      </c>
      <c r="B427"/>
    </row>
    <row r="428" spans="1:2">
      <c r="A428" s="1" t="s">
        <v>1212</v>
      </c>
      <c r="B428"/>
    </row>
    <row r="429" spans="1:2">
      <c r="A429" s="1" t="s">
        <v>1184</v>
      </c>
      <c r="B429"/>
    </row>
    <row r="430" spans="1:2">
      <c r="A430" s="1" t="s">
        <v>1260</v>
      </c>
      <c r="B430"/>
    </row>
    <row r="431" spans="1:2">
      <c r="A431" s="1" t="s">
        <v>1284</v>
      </c>
      <c r="B431"/>
    </row>
    <row r="432" spans="1:2">
      <c r="A432" s="1" t="s">
        <v>1183</v>
      </c>
      <c r="B432"/>
    </row>
    <row r="433" spans="1:2">
      <c r="A433" s="1" t="s">
        <v>1285</v>
      </c>
      <c r="B433"/>
    </row>
    <row r="434" spans="1:2">
      <c r="A434" s="1" t="s">
        <v>1187</v>
      </c>
      <c r="B434"/>
    </row>
    <row r="435" spans="1:2">
      <c r="A435" s="1" t="s">
        <v>1156</v>
      </c>
      <c r="B435"/>
    </row>
    <row r="436" spans="1:2">
      <c r="A436" s="1" t="s">
        <v>1198</v>
      </c>
      <c r="B436"/>
    </row>
    <row r="437" spans="1:2">
      <c r="A437" s="1" t="s">
        <v>1286</v>
      </c>
      <c r="B437"/>
    </row>
    <row r="438" spans="1:2">
      <c r="A438" s="1" t="s">
        <v>350</v>
      </c>
      <c r="B438"/>
    </row>
    <row r="439" spans="1:2">
      <c r="A439" s="1" t="s">
        <v>739</v>
      </c>
      <c r="B439"/>
    </row>
    <row r="440" spans="1:2">
      <c r="A440" s="1" t="s">
        <v>1184</v>
      </c>
      <c r="B440"/>
    </row>
    <row r="441" spans="1:2">
      <c r="A441" s="1" t="s">
        <v>1212</v>
      </c>
      <c r="B441"/>
    </row>
    <row r="442" spans="1:2">
      <c r="A442" s="1" t="s">
        <v>1183</v>
      </c>
      <c r="B442"/>
    </row>
    <row r="443" spans="1:2">
      <c r="A443" s="1" t="s">
        <v>1198</v>
      </c>
      <c r="B443"/>
    </row>
    <row r="444" spans="1:2">
      <c r="A444" s="1" t="s">
        <v>1152</v>
      </c>
      <c r="B444"/>
    </row>
    <row r="445" spans="1:2">
      <c r="A445" s="1" t="s">
        <v>1211</v>
      </c>
      <c r="B445"/>
    </row>
    <row r="446" spans="1:2">
      <c r="A446" s="1" t="s">
        <v>1259</v>
      </c>
      <c r="B446"/>
    </row>
    <row r="447" spans="1:2">
      <c r="A447" s="1" t="s">
        <v>1156</v>
      </c>
      <c r="B447"/>
    </row>
    <row r="448" spans="1:2">
      <c r="A448" s="1" t="s">
        <v>1146</v>
      </c>
      <c r="B448"/>
    </row>
    <row r="449" spans="1:2">
      <c r="A449" s="1" t="s">
        <v>1147</v>
      </c>
      <c r="B449"/>
    </row>
    <row r="450" spans="1:2">
      <c r="A450" s="1" t="s">
        <v>1156</v>
      </c>
      <c r="B450"/>
    </row>
    <row r="451" spans="1:2">
      <c r="A451" s="1" t="s">
        <v>1146</v>
      </c>
      <c r="B451"/>
    </row>
    <row r="452" spans="1:2">
      <c r="A452" s="1" t="s">
        <v>1184</v>
      </c>
      <c r="B452"/>
    </row>
    <row r="453" spans="1:2">
      <c r="A453" s="1" t="s">
        <v>1154</v>
      </c>
      <c r="B453"/>
    </row>
    <row r="454" spans="1:2">
      <c r="A454" s="1" t="s">
        <v>1143</v>
      </c>
      <c r="B454"/>
    </row>
    <row r="455" spans="1:2">
      <c r="A455" s="1" t="s">
        <v>1287</v>
      </c>
      <c r="B455"/>
    </row>
    <row r="456" spans="1:2">
      <c r="A456" s="1" t="s">
        <v>1220</v>
      </c>
      <c r="B456"/>
    </row>
    <row r="457" spans="1:2">
      <c r="A457" s="1" t="s">
        <v>1288</v>
      </c>
      <c r="B457"/>
    </row>
    <row r="458" spans="1:2">
      <c r="A458" s="1" t="s">
        <v>1147</v>
      </c>
      <c r="B458"/>
    </row>
    <row r="459" spans="1:2">
      <c r="A459" s="1" t="s">
        <v>1289</v>
      </c>
      <c r="B459"/>
    </row>
    <row r="460" spans="1:2">
      <c r="A460" s="1" t="s">
        <v>1259</v>
      </c>
      <c r="B460"/>
    </row>
    <row r="461" spans="1:2">
      <c r="A461" s="1" t="s">
        <v>1290</v>
      </c>
      <c r="B461"/>
    </row>
    <row r="462" spans="1:2">
      <c r="A462" s="1" t="s">
        <v>1282</v>
      </c>
      <c r="B462"/>
    </row>
    <row r="463" spans="1:2">
      <c r="A463" s="1" t="s">
        <v>1203</v>
      </c>
      <c r="B463"/>
    </row>
    <row r="464" spans="1:2">
      <c r="A464" s="1" t="s">
        <v>1183</v>
      </c>
      <c r="B464"/>
    </row>
    <row r="465" spans="1:2">
      <c r="A465" s="1" t="s">
        <v>1258</v>
      </c>
      <c r="B465"/>
    </row>
    <row r="466" spans="1:2">
      <c r="A466" s="1" t="s">
        <v>1291</v>
      </c>
      <c r="B466"/>
    </row>
    <row r="467" spans="1:2">
      <c r="A467" s="1" t="s">
        <v>1292</v>
      </c>
      <c r="B467"/>
    </row>
    <row r="468" spans="1:2">
      <c r="A468" s="1" t="s">
        <v>1293</v>
      </c>
      <c r="B468"/>
    </row>
    <row r="469" spans="1:2">
      <c r="A469" s="1" t="s">
        <v>1290</v>
      </c>
      <c r="B469"/>
    </row>
    <row r="470" spans="1:2">
      <c r="A470" s="1" t="s">
        <v>1294</v>
      </c>
      <c r="B470"/>
    </row>
    <row r="471" spans="1:2">
      <c r="A471" s="1" t="s">
        <v>1274</v>
      </c>
      <c r="B471"/>
    </row>
    <row r="472" spans="1:2">
      <c r="A472" s="1" t="s">
        <v>1295</v>
      </c>
      <c r="B472"/>
    </row>
    <row r="473" spans="1:2">
      <c r="A473" s="1" t="s">
        <v>1296</v>
      </c>
      <c r="B473"/>
    </row>
    <row r="474" spans="1:2">
      <c r="A474" s="1" t="s">
        <v>1259</v>
      </c>
      <c r="B474"/>
    </row>
    <row r="475" spans="1:2">
      <c r="A475" s="1" t="s">
        <v>1297</v>
      </c>
      <c r="B475"/>
    </row>
    <row r="476" spans="1:2">
      <c r="A476" s="1" t="s">
        <v>1223</v>
      </c>
      <c r="B476"/>
    </row>
    <row r="477" spans="1:2">
      <c r="A477" s="1" t="s">
        <v>1214</v>
      </c>
      <c r="B477"/>
    </row>
    <row r="478" spans="1:2">
      <c r="A478" s="1" t="s">
        <v>1298</v>
      </c>
      <c r="B478"/>
    </row>
    <row r="479" spans="1:2">
      <c r="A479" s="1" t="s">
        <v>1200</v>
      </c>
      <c r="B479"/>
    </row>
    <row r="480" spans="1:2">
      <c r="A480" s="1" t="s">
        <v>1154</v>
      </c>
      <c r="B480"/>
    </row>
    <row r="481" spans="1:2">
      <c r="A481" s="1" t="s">
        <v>1259</v>
      </c>
      <c r="B481"/>
    </row>
    <row r="482" spans="1:2">
      <c r="A482" s="1" t="s">
        <v>1220</v>
      </c>
      <c r="B482"/>
    </row>
    <row r="483" spans="1:2">
      <c r="A483" s="1" t="s">
        <v>1299</v>
      </c>
      <c r="B483"/>
    </row>
    <row r="484" spans="1:2">
      <c r="A484" s="1" t="s">
        <v>1211</v>
      </c>
      <c r="B484"/>
    </row>
    <row r="485" spans="1:2">
      <c r="A485" s="1" t="s">
        <v>1198</v>
      </c>
      <c r="B485"/>
    </row>
    <row r="486" spans="1:2">
      <c r="A486" s="1" t="s">
        <v>1231</v>
      </c>
      <c r="B486"/>
    </row>
    <row r="487" spans="1:2">
      <c r="A487" s="1" t="s">
        <v>1156</v>
      </c>
      <c r="B487"/>
    </row>
    <row r="488" spans="1:2">
      <c r="A488" s="1" t="s">
        <v>1227</v>
      </c>
      <c r="B488"/>
    </row>
    <row r="489" spans="1:2">
      <c r="A489" s="1" t="s">
        <v>1161</v>
      </c>
      <c r="B489"/>
    </row>
    <row r="490" spans="1:2">
      <c r="A490" s="1" t="s">
        <v>1220</v>
      </c>
      <c r="B490"/>
    </row>
    <row r="491" spans="1:2">
      <c r="A491" s="1" t="s">
        <v>1257</v>
      </c>
      <c r="B491"/>
    </row>
    <row r="492" spans="1:2">
      <c r="A492" s="1" t="s">
        <v>1300</v>
      </c>
      <c r="B492"/>
    </row>
    <row r="493" spans="1:2">
      <c r="A493" s="1" t="s">
        <v>1301</v>
      </c>
      <c r="B493"/>
    </row>
    <row r="494" spans="1:2">
      <c r="A494" s="1" t="s">
        <v>1198</v>
      </c>
      <c r="B494"/>
    </row>
    <row r="495" spans="1:2">
      <c r="A495" s="1" t="s">
        <v>1302</v>
      </c>
      <c r="B495"/>
    </row>
    <row r="496" spans="1:2">
      <c r="A496" s="1" t="s">
        <v>1303</v>
      </c>
      <c r="B496"/>
    </row>
    <row r="497" spans="1:2">
      <c r="A497" s="1" t="s">
        <v>1282</v>
      </c>
      <c r="B497"/>
    </row>
    <row r="498" spans="1:2">
      <c r="A498" s="1" t="s">
        <v>1290</v>
      </c>
      <c r="B498"/>
    </row>
    <row r="499" spans="1:2">
      <c r="A499" s="1" t="s">
        <v>1203</v>
      </c>
      <c r="B499"/>
    </row>
    <row r="500" spans="1:2">
      <c r="A500" s="1" t="s">
        <v>1183</v>
      </c>
      <c r="B500"/>
    </row>
    <row r="501" spans="1:2">
      <c r="A501" s="1" t="s">
        <v>1258</v>
      </c>
      <c r="B501"/>
    </row>
    <row r="502" spans="1:2">
      <c r="A502" s="1" t="s">
        <v>1143</v>
      </c>
      <c r="B502"/>
    </row>
    <row r="503" spans="1:2">
      <c r="A503" s="1" t="s">
        <v>1304</v>
      </c>
      <c r="B503"/>
    </row>
    <row r="504" spans="1:2">
      <c r="A504" s="1" t="s">
        <v>1259</v>
      </c>
      <c r="B504"/>
    </row>
    <row r="505" spans="1:2">
      <c r="A505" s="1" t="s">
        <v>1282</v>
      </c>
      <c r="B505"/>
    </row>
    <row r="506" spans="1:2">
      <c r="A506" s="1" t="s">
        <v>1290</v>
      </c>
      <c r="B506"/>
    </row>
    <row r="507" spans="1:2">
      <c r="A507" s="1" t="s">
        <v>1301</v>
      </c>
      <c r="B507"/>
    </row>
    <row r="508" spans="1:2">
      <c r="A508" s="1" t="s">
        <v>1296</v>
      </c>
      <c r="B508"/>
    </row>
    <row r="509" spans="1:2">
      <c r="A509" s="1" t="s">
        <v>1274</v>
      </c>
      <c r="B509"/>
    </row>
    <row r="510" spans="1:2">
      <c r="A510" s="1" t="s">
        <v>1305</v>
      </c>
      <c r="B510"/>
    </row>
    <row r="511" spans="1:2">
      <c r="A511" s="1" t="s">
        <v>1273</v>
      </c>
      <c r="B511"/>
    </row>
    <row r="512" spans="1:2">
      <c r="A512" s="1" t="s">
        <v>1198</v>
      </c>
      <c r="B512"/>
    </row>
    <row r="513" spans="1:2">
      <c r="A513" s="1" t="s">
        <v>1306</v>
      </c>
      <c r="B513"/>
    </row>
    <row r="514" spans="1:2">
      <c r="A514" s="1" t="s">
        <v>1307</v>
      </c>
      <c r="B514"/>
    </row>
    <row r="515" spans="1:2">
      <c r="A515" s="1" t="s">
        <v>1308</v>
      </c>
      <c r="B515"/>
    </row>
    <row r="516" spans="1:2">
      <c r="A516" s="1" t="s">
        <v>1290</v>
      </c>
      <c r="B516"/>
    </row>
    <row r="517" spans="1:2">
      <c r="A517" s="1" t="s">
        <v>1265</v>
      </c>
      <c r="B517"/>
    </row>
    <row r="518" spans="1:2">
      <c r="A518" s="1" t="s">
        <v>1202</v>
      </c>
      <c r="B518"/>
    </row>
    <row r="519" spans="1:2">
      <c r="A519" s="1" t="s">
        <v>1304</v>
      </c>
      <c r="B519"/>
    </row>
    <row r="520" spans="1:2">
      <c r="A520" s="1" t="s">
        <v>1159</v>
      </c>
      <c r="B520"/>
    </row>
    <row r="521" spans="1:2">
      <c r="A521" s="1" t="s">
        <v>1253</v>
      </c>
      <c r="B521"/>
    </row>
    <row r="522" spans="1:2">
      <c r="A522" s="1" t="s">
        <v>1216</v>
      </c>
      <c r="B522"/>
    </row>
    <row r="523" spans="1:2">
      <c r="A523" s="1" t="s">
        <v>1183</v>
      </c>
      <c r="B523"/>
    </row>
    <row r="524" spans="1:2">
      <c r="A524" s="1" t="s">
        <v>1309</v>
      </c>
      <c r="B524"/>
    </row>
    <row r="525" spans="1:2">
      <c r="A525" s="1" t="s">
        <v>1286</v>
      </c>
      <c r="B525"/>
    </row>
    <row r="526" spans="1:2">
      <c r="A526" s="1" t="s">
        <v>1260</v>
      </c>
      <c r="B526"/>
    </row>
    <row r="527" spans="1:2">
      <c r="A527" s="1" t="s">
        <v>1310</v>
      </c>
      <c r="B527"/>
    </row>
    <row r="528" spans="1:2">
      <c r="A528" s="1" t="s">
        <v>1311</v>
      </c>
      <c r="B528"/>
    </row>
    <row r="529" spans="1:2">
      <c r="A529" s="1" t="s">
        <v>1184</v>
      </c>
      <c r="B529"/>
    </row>
    <row r="530" spans="1:2">
      <c r="A530" s="1" t="s">
        <v>1312</v>
      </c>
      <c r="B530"/>
    </row>
    <row r="531" spans="1:2">
      <c r="A531" s="1" t="s">
        <v>1249</v>
      </c>
      <c r="B531"/>
    </row>
    <row r="532" spans="1:2">
      <c r="A532" s="1" t="s">
        <v>1161</v>
      </c>
      <c r="B532"/>
    </row>
    <row r="533" spans="1:2">
      <c r="A533" s="1" t="s">
        <v>1159</v>
      </c>
      <c r="B533"/>
    </row>
    <row r="534" spans="1:2">
      <c r="A534" s="1" t="s">
        <v>1287</v>
      </c>
      <c r="B534"/>
    </row>
    <row r="535" spans="1:2">
      <c r="A535" s="1" t="s">
        <v>1313</v>
      </c>
      <c r="B535"/>
    </row>
    <row r="536" spans="1:2">
      <c r="A536" s="1" t="s">
        <v>1231</v>
      </c>
      <c r="B536"/>
    </row>
    <row r="537" spans="1:2">
      <c r="A537" s="1" t="s">
        <v>1314</v>
      </c>
      <c r="B537"/>
    </row>
    <row r="538" spans="1:2">
      <c r="A538" s="1" t="s">
        <v>1184</v>
      </c>
      <c r="B538"/>
    </row>
    <row r="539" spans="1:2">
      <c r="A539" s="1" t="s">
        <v>1198</v>
      </c>
      <c r="B539"/>
    </row>
    <row r="540" spans="1:2">
      <c r="A540" s="1" t="s">
        <v>1212</v>
      </c>
      <c r="B540"/>
    </row>
    <row r="541" spans="1:2">
      <c r="A541" s="1" t="s">
        <v>1315</v>
      </c>
      <c r="B541"/>
    </row>
    <row r="542" spans="1:2">
      <c r="A542" s="1" t="s">
        <v>1273</v>
      </c>
      <c r="B542"/>
    </row>
    <row r="543" spans="1:2">
      <c r="A543" s="1" t="s">
        <v>1156</v>
      </c>
      <c r="B543"/>
    </row>
    <row r="544" spans="1:2">
      <c r="A544" s="1" t="s">
        <v>1211</v>
      </c>
      <c r="B544"/>
    </row>
    <row r="545" spans="1:2">
      <c r="A545" s="1" t="s">
        <v>1187</v>
      </c>
      <c r="B545"/>
    </row>
    <row r="546" spans="1:2">
      <c r="A546" s="1" t="s">
        <v>1316</v>
      </c>
      <c r="B546"/>
    </row>
    <row r="547" spans="1:2">
      <c r="A547" s="1" t="s">
        <v>1314</v>
      </c>
      <c r="B547"/>
    </row>
    <row r="548" spans="1:2">
      <c r="A548" s="1" t="s">
        <v>1317</v>
      </c>
      <c r="B548"/>
    </row>
    <row r="549" spans="1:2">
      <c r="A549" s="1" t="s">
        <v>1315</v>
      </c>
      <c r="B549"/>
    </row>
    <row r="550" spans="1:2">
      <c r="A550" s="1" t="s">
        <v>1244</v>
      </c>
      <c r="B550"/>
    </row>
    <row r="551" spans="1:2">
      <c r="A551" s="1" t="s">
        <v>1159</v>
      </c>
      <c r="B551"/>
    </row>
    <row r="552" spans="1:2">
      <c r="A552" s="1" t="s">
        <v>1146</v>
      </c>
      <c r="B552"/>
    </row>
    <row r="553" spans="1:2">
      <c r="A553" s="1" t="s">
        <v>1147</v>
      </c>
      <c r="B553"/>
    </row>
    <row r="554" spans="1:2">
      <c r="A554" s="1" t="s">
        <v>1318</v>
      </c>
      <c r="B554"/>
    </row>
    <row r="555" spans="1:2">
      <c r="A555" s="1" t="s">
        <v>1286</v>
      </c>
      <c r="B555"/>
    </row>
    <row r="556" spans="1:2">
      <c r="A556" s="1" t="s">
        <v>1309</v>
      </c>
      <c r="B556"/>
    </row>
    <row r="557" spans="1:2">
      <c r="A557" s="1" t="s">
        <v>1319</v>
      </c>
      <c r="B557"/>
    </row>
    <row r="558" spans="1:2">
      <c r="A558" s="1" t="s">
        <v>1184</v>
      </c>
      <c r="B558"/>
    </row>
    <row r="559" spans="1:2">
      <c r="A559" s="1" t="s">
        <v>1320</v>
      </c>
      <c r="B559"/>
    </row>
    <row r="560" spans="1:2">
      <c r="A560" s="1" t="s">
        <v>1198</v>
      </c>
      <c r="B560"/>
    </row>
    <row r="561" spans="1:2">
      <c r="A561" s="1" t="s">
        <v>1321</v>
      </c>
      <c r="B561"/>
    </row>
    <row r="562" spans="1:2">
      <c r="A562" s="1" t="s">
        <v>1212</v>
      </c>
      <c r="B562"/>
    </row>
    <row r="563" spans="1:2">
      <c r="A563" s="1" t="s">
        <v>1322</v>
      </c>
      <c r="B563"/>
    </row>
    <row r="564" spans="1:2">
      <c r="A564" s="1" t="s">
        <v>1323</v>
      </c>
      <c r="B564"/>
    </row>
    <row r="565" spans="1:2">
      <c r="A565" s="1" t="s">
        <v>1311</v>
      </c>
      <c r="B565"/>
    </row>
    <row r="566" spans="1:2">
      <c r="A566" s="1" t="s">
        <v>1324</v>
      </c>
      <c r="B566"/>
    </row>
    <row r="567" spans="1:2">
      <c r="A567" s="1" t="s">
        <v>1325</v>
      </c>
      <c r="B567"/>
    </row>
    <row r="568" spans="1:2">
      <c r="A568" s="1" t="s">
        <v>1326</v>
      </c>
      <c r="B568"/>
    </row>
    <row r="569" spans="1:2">
      <c r="A569" s="1" t="s">
        <v>1327</v>
      </c>
      <c r="B569"/>
    </row>
    <row r="570" spans="1:2">
      <c r="A570" s="1" t="s">
        <v>1328</v>
      </c>
      <c r="B570"/>
    </row>
    <row r="571" spans="1:2">
      <c r="A571" s="1" t="s">
        <v>1329</v>
      </c>
      <c r="B571"/>
    </row>
    <row r="572" spans="1:2">
      <c r="A572" s="1" t="s">
        <v>1330</v>
      </c>
      <c r="B572"/>
    </row>
    <row r="573" spans="1:2">
      <c r="A573" s="1" t="s">
        <v>1211</v>
      </c>
      <c r="B573"/>
    </row>
    <row r="574" spans="1:2">
      <c r="A574" s="1" t="s">
        <v>1331</v>
      </c>
      <c r="B574"/>
    </row>
    <row r="575" spans="1:2">
      <c r="A575" s="1" t="s">
        <v>1223</v>
      </c>
      <c r="B575"/>
    </row>
    <row r="576" spans="1:2">
      <c r="A576" s="1" t="s">
        <v>1332</v>
      </c>
      <c r="B576"/>
    </row>
    <row r="577" spans="1:2">
      <c r="A577" s="1" t="s">
        <v>1333</v>
      </c>
      <c r="B577"/>
    </row>
    <row r="578" spans="1:2">
      <c r="A578" s="1" t="s">
        <v>1292</v>
      </c>
      <c r="B578"/>
    </row>
    <row r="579" spans="1:2">
      <c r="A579" s="1" t="s">
        <v>1334</v>
      </c>
      <c r="B579"/>
    </row>
    <row r="580" spans="1:2">
      <c r="A580" s="1" t="s">
        <v>1223</v>
      </c>
      <c r="B580"/>
    </row>
    <row r="581" spans="1:2">
      <c r="A581" s="1" t="s">
        <v>1243</v>
      </c>
      <c r="B581"/>
    </row>
    <row r="582" spans="1:2">
      <c r="A582" s="1" t="s">
        <v>1335</v>
      </c>
      <c r="B582"/>
    </row>
    <row r="583" spans="1:2">
      <c r="A583" s="1" t="s">
        <v>1336</v>
      </c>
      <c r="B583"/>
    </row>
    <row r="584" spans="1:2">
      <c r="A584" s="1" t="s">
        <v>1213</v>
      </c>
      <c r="B584"/>
    </row>
    <row r="585" spans="1:2">
      <c r="A585" s="1" t="s">
        <v>1156</v>
      </c>
      <c r="B585"/>
    </row>
    <row r="586" spans="1:2">
      <c r="A586" s="1" t="s">
        <v>1154</v>
      </c>
      <c r="B586"/>
    </row>
    <row r="587" spans="1:2">
      <c r="A587" s="1" t="s">
        <v>1198</v>
      </c>
      <c r="B587"/>
    </row>
    <row r="588" spans="1:2">
      <c r="A588" s="1" t="s">
        <v>1154</v>
      </c>
      <c r="B588"/>
    </row>
    <row r="589" spans="1:2">
      <c r="A589" s="1" t="s">
        <v>1184</v>
      </c>
      <c r="B589"/>
    </row>
    <row r="590" spans="1:2">
      <c r="A590" s="1" t="s">
        <v>1221</v>
      </c>
      <c r="B590"/>
    </row>
    <row r="591" spans="1:2">
      <c r="A591" s="1" t="s">
        <v>1218</v>
      </c>
      <c r="B591"/>
    </row>
    <row r="592" spans="1:2">
      <c r="A592" s="1" t="s">
        <v>1183</v>
      </c>
      <c r="B592"/>
    </row>
    <row r="593" spans="1:2">
      <c r="A593" s="1" t="s">
        <v>1159</v>
      </c>
      <c r="B593"/>
    </row>
    <row r="594" spans="1:2">
      <c r="A594" s="1" t="s">
        <v>1286</v>
      </c>
      <c r="B594"/>
    </row>
    <row r="595" spans="1:2">
      <c r="A595" s="1" t="s">
        <v>1161</v>
      </c>
      <c r="B595"/>
    </row>
    <row r="596" spans="1:2">
      <c r="A596" s="1" t="s">
        <v>1250</v>
      </c>
      <c r="B596"/>
    </row>
    <row r="597" spans="1:2">
      <c r="A597" s="1" t="s">
        <v>1337</v>
      </c>
      <c r="B597"/>
    </row>
    <row r="598" spans="1:2">
      <c r="A598" s="1" t="s">
        <v>1216</v>
      </c>
      <c r="B598"/>
    </row>
    <row r="599" spans="1:2">
      <c r="A599" s="1" t="s">
        <v>1338</v>
      </c>
      <c r="B599"/>
    </row>
    <row r="600" spans="1:2">
      <c r="A600" s="1" t="s">
        <v>1285</v>
      </c>
      <c r="B600"/>
    </row>
    <row r="601" spans="1:2">
      <c r="A601" s="1" t="s">
        <v>1336</v>
      </c>
      <c r="B601"/>
    </row>
    <row r="602" spans="1:2">
      <c r="A602" s="1" t="s">
        <v>1285</v>
      </c>
      <c r="B602"/>
    </row>
    <row r="603" spans="1:2">
      <c r="A603" s="1" t="s">
        <v>1214</v>
      </c>
      <c r="B603"/>
    </row>
    <row r="604" spans="1:2">
      <c r="A604" s="1" t="s">
        <v>1183</v>
      </c>
      <c r="B604"/>
    </row>
    <row r="605" spans="1:2">
      <c r="A605" s="1" t="s">
        <v>1152</v>
      </c>
      <c r="B605"/>
    </row>
    <row r="606" spans="1:2">
      <c r="A606" s="1" t="s">
        <v>1156</v>
      </c>
      <c r="B606"/>
    </row>
    <row r="607" spans="1:2">
      <c r="A607" s="1" t="s">
        <v>1212</v>
      </c>
      <c r="B607"/>
    </row>
    <row r="608" spans="1:2">
      <c r="A608" s="1" t="s">
        <v>1339</v>
      </c>
      <c r="B608"/>
    </row>
    <row r="609" spans="1:2">
      <c r="A609" s="1" t="s">
        <v>1217</v>
      </c>
      <c r="B609"/>
    </row>
    <row r="610" spans="1:2">
      <c r="A610" s="1" t="s">
        <v>1333</v>
      </c>
      <c r="B610"/>
    </row>
    <row r="611" spans="1:2">
      <c r="A611" s="1" t="s">
        <v>1336</v>
      </c>
      <c r="B611"/>
    </row>
    <row r="612" spans="1:2">
      <c r="A612" s="1" t="s">
        <v>1340</v>
      </c>
      <c r="B612"/>
    </row>
    <row r="613" spans="1:2">
      <c r="A613" s="1" t="s">
        <v>1341</v>
      </c>
      <c r="B613"/>
    </row>
    <row r="614" spans="1:2">
      <c r="A614" s="1" t="s">
        <v>1342</v>
      </c>
      <c r="B614"/>
    </row>
    <row r="615" spans="1:2">
      <c r="A615" s="1" t="s">
        <v>1343</v>
      </c>
      <c r="B615"/>
    </row>
    <row r="616" spans="1:2">
      <c r="A616" s="1" t="s">
        <v>1344</v>
      </c>
      <c r="B616"/>
    </row>
    <row r="617" spans="1:2">
      <c r="A617" s="1" t="s">
        <v>1345</v>
      </c>
      <c r="B617"/>
    </row>
    <row r="618" spans="1:2">
      <c r="A618" s="1" t="s">
        <v>1346</v>
      </c>
      <c r="B618"/>
    </row>
    <row r="619" spans="1:2">
      <c r="A619" s="1" t="s">
        <v>1347</v>
      </c>
      <c r="B619"/>
    </row>
    <row r="620" spans="1:2">
      <c r="A620" s="1" t="s">
        <v>1238</v>
      </c>
      <c r="B620"/>
    </row>
    <row r="621" spans="1:2">
      <c r="A621" s="1" t="s">
        <v>1150</v>
      </c>
      <c r="B621"/>
    </row>
    <row r="622" spans="1:2">
      <c r="A622" s="1" t="s">
        <v>1152</v>
      </c>
      <c r="B622"/>
    </row>
    <row r="623" spans="1:2">
      <c r="A623" s="1" t="s">
        <v>1348</v>
      </c>
      <c r="B623"/>
    </row>
    <row r="624" spans="1:2">
      <c r="A624" s="1" t="s">
        <v>1333</v>
      </c>
      <c r="B624"/>
    </row>
    <row r="625" spans="1:2">
      <c r="A625" s="1" t="s">
        <v>1224</v>
      </c>
      <c r="B625"/>
    </row>
    <row r="626" spans="1:2">
      <c r="A626" s="1" t="s">
        <v>1158</v>
      </c>
      <c r="B626"/>
    </row>
    <row r="627" spans="1:2">
      <c r="A627" s="1" t="s">
        <v>1190</v>
      </c>
      <c r="B627"/>
    </row>
    <row r="628" spans="1:2">
      <c r="A628" s="1" t="s">
        <v>1183</v>
      </c>
      <c r="B628"/>
    </row>
    <row r="629" spans="1:2">
      <c r="A629" s="1" t="s">
        <v>1146</v>
      </c>
      <c r="B629"/>
    </row>
    <row r="630" spans="1:2">
      <c r="A630" s="1" t="s">
        <v>1349</v>
      </c>
      <c r="B630"/>
    </row>
    <row r="631" spans="1:2">
      <c r="A631" s="1" t="s">
        <v>1190</v>
      </c>
      <c r="B631"/>
    </row>
    <row r="632" spans="1:2">
      <c r="A632" s="1" t="s">
        <v>1166</v>
      </c>
      <c r="B632"/>
    </row>
    <row r="633" spans="1:2">
      <c r="A633" s="1" t="s">
        <v>1156</v>
      </c>
      <c r="B633"/>
    </row>
    <row r="634" spans="1:2">
      <c r="A634" s="1" t="s">
        <v>1350</v>
      </c>
      <c r="B634"/>
    </row>
    <row r="635" spans="1:2">
      <c r="A635" s="1" t="s">
        <v>1183</v>
      </c>
      <c r="B635"/>
    </row>
    <row r="636" spans="1:2">
      <c r="A636" s="1" t="s">
        <v>1187</v>
      </c>
      <c r="B636"/>
    </row>
    <row r="637" spans="1:2">
      <c r="A637" s="1" t="s">
        <v>1157</v>
      </c>
      <c r="B637"/>
    </row>
    <row r="638" spans="1:2">
      <c r="A638" s="1" t="s">
        <v>1146</v>
      </c>
      <c r="B638"/>
    </row>
    <row r="639" spans="1:2">
      <c r="A639" s="1" t="s">
        <v>1351</v>
      </c>
      <c r="B639"/>
    </row>
    <row r="640" spans="1:2">
      <c r="A640" s="1" t="s">
        <v>1187</v>
      </c>
      <c r="B640"/>
    </row>
    <row r="641" spans="1:2">
      <c r="A641" s="1" t="s">
        <v>1352</v>
      </c>
      <c r="B641"/>
    </row>
    <row r="642" spans="1:2">
      <c r="A642" s="1" t="s">
        <v>1353</v>
      </c>
      <c r="B642"/>
    </row>
    <row r="643" spans="1:2">
      <c r="A643" s="1" t="s">
        <v>1354</v>
      </c>
      <c r="B643"/>
    </row>
    <row r="644" spans="1:2">
      <c r="A644" s="1" t="s">
        <v>1252</v>
      </c>
      <c r="B644"/>
    </row>
    <row r="645" spans="1:2">
      <c r="A645" s="1" t="s">
        <v>1300</v>
      </c>
      <c r="B645"/>
    </row>
    <row r="646" spans="1:2">
      <c r="A646" s="1" t="s">
        <v>1355</v>
      </c>
      <c r="B646"/>
    </row>
    <row r="647" spans="1:2">
      <c r="A647" s="1" t="s">
        <v>1198</v>
      </c>
      <c r="B647"/>
    </row>
    <row r="648" spans="1:2">
      <c r="A648" s="1" t="s">
        <v>1301</v>
      </c>
      <c r="B648"/>
    </row>
    <row r="649" spans="1:2">
      <c r="A649" s="1" t="s">
        <v>1352</v>
      </c>
      <c r="B649"/>
    </row>
    <row r="650" spans="1:2">
      <c r="A650" s="1" t="s">
        <v>1273</v>
      </c>
      <c r="B650"/>
    </row>
    <row r="651" spans="1:2">
      <c r="A651" s="1" t="s">
        <v>1351</v>
      </c>
      <c r="B651"/>
    </row>
    <row r="652" spans="1:2">
      <c r="A652" s="1" t="s">
        <v>1343</v>
      </c>
      <c r="B652"/>
    </row>
    <row r="653" spans="1:2">
      <c r="A653" s="1" t="s">
        <v>1183</v>
      </c>
      <c r="B653"/>
    </row>
    <row r="654" spans="1:2">
      <c r="A654" s="1" t="s">
        <v>1178</v>
      </c>
      <c r="B654"/>
    </row>
    <row r="655" spans="1:2">
      <c r="A655" s="1" t="s">
        <v>1166</v>
      </c>
      <c r="B655"/>
    </row>
    <row r="656" spans="1:2">
      <c r="A656" s="1" t="s">
        <v>1152</v>
      </c>
      <c r="B656"/>
    </row>
    <row r="657" spans="1:2">
      <c r="A657" s="1" t="s">
        <v>1333</v>
      </c>
      <c r="B657"/>
    </row>
    <row r="658" spans="1:2">
      <c r="A658" s="1" t="s">
        <v>1145</v>
      </c>
      <c r="B658"/>
    </row>
    <row r="659" spans="1:2">
      <c r="A659" s="1" t="s">
        <v>1181</v>
      </c>
      <c r="B659"/>
    </row>
    <row r="660" spans="1:2">
      <c r="A660" s="1" t="s">
        <v>1156</v>
      </c>
      <c r="B660"/>
    </row>
    <row r="661" spans="1:2">
      <c r="A661" s="1" t="s">
        <v>1461</v>
      </c>
      <c r="B661"/>
    </row>
    <row r="662" spans="1:2">
      <c r="A662" s="1" t="s">
        <v>1478</v>
      </c>
      <c r="B662"/>
    </row>
    <row r="663" spans="1:2">
      <c r="A663" s="1" t="s">
        <v>1479</v>
      </c>
      <c r="B663"/>
    </row>
    <row r="664" spans="1:2">
      <c r="A664" s="1" t="s">
        <v>1356</v>
      </c>
      <c r="B664"/>
    </row>
    <row r="665" spans="1:2">
      <c r="A665" s="1" t="s">
        <v>1158</v>
      </c>
      <c r="B665"/>
    </row>
    <row r="666" spans="1:2">
      <c r="A666" s="1" t="s">
        <v>1198</v>
      </c>
      <c r="B666"/>
    </row>
    <row r="667" spans="1:2">
      <c r="A667" s="1" t="s">
        <v>1156</v>
      </c>
      <c r="B667"/>
    </row>
    <row r="668" spans="1:2">
      <c r="A668" s="1" t="s">
        <v>1180</v>
      </c>
      <c r="B668"/>
    </row>
    <row r="669" spans="1:2">
      <c r="A669" s="1" t="s">
        <v>1190</v>
      </c>
      <c r="B669"/>
    </row>
    <row r="670" spans="1:2">
      <c r="A670" s="1" t="s">
        <v>1273</v>
      </c>
      <c r="B670"/>
    </row>
    <row r="671" spans="1:2">
      <c r="A671" s="1" t="s">
        <v>1146</v>
      </c>
      <c r="B671"/>
    </row>
    <row r="672" spans="1:2">
      <c r="A672" s="1" t="s">
        <v>1147</v>
      </c>
      <c r="B672"/>
    </row>
    <row r="673" spans="1:2">
      <c r="A673" s="1" t="s">
        <v>1349</v>
      </c>
      <c r="B673"/>
    </row>
    <row r="674" spans="1:2">
      <c r="A674" s="1" t="s">
        <v>1142</v>
      </c>
      <c r="B674"/>
    </row>
    <row r="675" spans="1:2">
      <c r="A675" s="1" t="s">
        <v>1335</v>
      </c>
      <c r="B675"/>
    </row>
    <row r="676" spans="1:2">
      <c r="A676" s="1" t="s">
        <v>1249</v>
      </c>
      <c r="B676"/>
    </row>
    <row r="677" spans="1:2">
      <c r="A677" s="1" t="s">
        <v>1155</v>
      </c>
      <c r="B677"/>
    </row>
    <row r="678" spans="1:2">
      <c r="A678" s="1" t="s">
        <v>1356</v>
      </c>
      <c r="B678"/>
    </row>
    <row r="679" spans="1:2">
      <c r="A679" s="1" t="s">
        <v>1156</v>
      </c>
      <c r="B679"/>
    </row>
    <row r="680" spans="1:2">
      <c r="A680" s="1" t="s">
        <v>1312</v>
      </c>
      <c r="B680"/>
    </row>
    <row r="681" spans="1:2">
      <c r="A681" s="1" t="s">
        <v>1144</v>
      </c>
      <c r="B681"/>
    </row>
    <row r="682" spans="1:2">
      <c r="A682" s="1" t="s">
        <v>1158</v>
      </c>
      <c r="B682"/>
    </row>
    <row r="683" spans="1:2">
      <c r="A683" s="1" t="s">
        <v>1357</v>
      </c>
      <c r="B683"/>
    </row>
    <row r="684" spans="1:2">
      <c r="A684" s="1" t="s">
        <v>1184</v>
      </c>
      <c r="B684"/>
    </row>
    <row r="685" spans="1:2">
      <c r="A685" s="1" t="s">
        <v>1146</v>
      </c>
      <c r="B685"/>
    </row>
    <row r="686" spans="1:2">
      <c r="A686" s="1" t="s">
        <v>1358</v>
      </c>
      <c r="B686"/>
    </row>
    <row r="687" spans="1:2">
      <c r="A687" s="1" t="s">
        <v>1156</v>
      </c>
      <c r="B687"/>
    </row>
    <row r="688" spans="1:2">
      <c r="A688" s="1" t="s">
        <v>1194</v>
      </c>
      <c r="B688"/>
    </row>
    <row r="689" spans="1:2">
      <c r="A689" s="1" t="s">
        <v>1189</v>
      </c>
      <c r="B689"/>
    </row>
    <row r="690" spans="1:2">
      <c r="A690" s="1" t="s">
        <v>1143</v>
      </c>
      <c r="B690"/>
    </row>
    <row r="691" spans="1:2">
      <c r="A691" s="1" t="s">
        <v>1156</v>
      </c>
      <c r="B691"/>
    </row>
    <row r="692" spans="1:2">
      <c r="A692" s="1" t="s">
        <v>1192</v>
      </c>
      <c r="B692"/>
    </row>
    <row r="693" spans="1:2">
      <c r="A693" s="1" t="s">
        <v>1194</v>
      </c>
      <c r="B693"/>
    </row>
    <row r="694" spans="1:2">
      <c r="A694" s="1" t="s">
        <v>1359</v>
      </c>
      <c r="B694"/>
    </row>
    <row r="695" spans="1:2">
      <c r="A695" s="1" t="s">
        <v>1198</v>
      </c>
      <c r="B695"/>
    </row>
    <row r="696" spans="1:2">
      <c r="A696" s="1" t="s">
        <v>1154</v>
      </c>
      <c r="B696"/>
    </row>
    <row r="697" spans="1:2">
      <c r="A697" s="1" t="s">
        <v>1152</v>
      </c>
      <c r="B697"/>
    </row>
    <row r="698" spans="1:2">
      <c r="A698" s="1" t="s">
        <v>1232</v>
      </c>
      <c r="B698"/>
    </row>
    <row r="699" spans="1:2">
      <c r="A699" s="1" t="s">
        <v>1201</v>
      </c>
      <c r="B699"/>
    </row>
    <row r="700" spans="1:2">
      <c r="A700" s="1" t="s">
        <v>1161</v>
      </c>
      <c r="B700"/>
    </row>
    <row r="701" spans="1:2">
      <c r="A701" s="1" t="s">
        <v>1178</v>
      </c>
      <c r="B701"/>
    </row>
    <row r="702" spans="1:2">
      <c r="A702" s="1" t="s">
        <v>1181</v>
      </c>
      <c r="B702"/>
    </row>
    <row r="703" spans="1:2">
      <c r="A703" s="1" t="s">
        <v>1156</v>
      </c>
      <c r="B703"/>
    </row>
    <row r="704" spans="1:2">
      <c r="A704" s="1" t="s">
        <v>1322</v>
      </c>
      <c r="B704"/>
    </row>
    <row r="705" spans="1:2">
      <c r="A705" s="1" t="s">
        <v>1360</v>
      </c>
      <c r="B705"/>
    </row>
    <row r="706" spans="1:2">
      <c r="A706" s="1" t="s">
        <v>1232</v>
      </c>
      <c r="B706"/>
    </row>
    <row r="707" spans="1:2">
      <c r="A707" s="1" t="s">
        <v>1361</v>
      </c>
      <c r="B707"/>
    </row>
    <row r="708" spans="1:2">
      <c r="A708" s="1" t="s">
        <v>1152</v>
      </c>
      <c r="B708"/>
    </row>
    <row r="709" spans="1:2">
      <c r="A709" s="1" t="s">
        <v>1359</v>
      </c>
      <c r="B709"/>
    </row>
    <row r="710" spans="1:2">
      <c r="A710" s="1" t="s">
        <v>1194</v>
      </c>
      <c r="B710"/>
    </row>
    <row r="711" spans="1:2">
      <c r="A711" s="1" t="s">
        <v>1178</v>
      </c>
      <c r="B711"/>
    </row>
    <row r="712" spans="1:2">
      <c r="A712" s="1" t="s">
        <v>1362</v>
      </c>
      <c r="B712"/>
    </row>
    <row r="713" spans="1:2">
      <c r="A713" s="1" t="s">
        <v>1198</v>
      </c>
      <c r="B713"/>
    </row>
    <row r="714" spans="1:2">
      <c r="A714" s="1" t="s">
        <v>1359</v>
      </c>
      <c r="B714"/>
    </row>
    <row r="715" spans="1:2">
      <c r="A715" s="1" t="s">
        <v>1156</v>
      </c>
      <c r="B715"/>
    </row>
    <row r="716" spans="1:2">
      <c r="A716" s="1" t="s">
        <v>1363</v>
      </c>
      <c r="B716"/>
    </row>
    <row r="717" spans="1:2">
      <c r="A717" s="1" t="s">
        <v>1189</v>
      </c>
      <c r="B717"/>
    </row>
    <row r="718" spans="1:2">
      <c r="A718" s="1" t="s">
        <v>1194</v>
      </c>
      <c r="B718"/>
    </row>
    <row r="719" spans="1:2">
      <c r="A719" s="1" t="s">
        <v>1244</v>
      </c>
      <c r="B719"/>
    </row>
    <row r="720" spans="1:2">
      <c r="A720" s="1" t="s">
        <v>1198</v>
      </c>
      <c r="B720"/>
    </row>
    <row r="721" spans="1:2">
      <c r="A721" s="1" t="s">
        <v>1145</v>
      </c>
      <c r="B721"/>
    </row>
    <row r="722" spans="1:2">
      <c r="A722" s="1" t="s">
        <v>1152</v>
      </c>
      <c r="B722"/>
    </row>
    <row r="723" spans="1:2">
      <c r="A723" s="1" t="s">
        <v>1184</v>
      </c>
      <c r="B723"/>
    </row>
    <row r="724" spans="1:2">
      <c r="A724" s="1" t="s">
        <v>1143</v>
      </c>
      <c r="B724"/>
    </row>
    <row r="725" spans="1:2">
      <c r="A725" s="1" t="s">
        <v>1287</v>
      </c>
      <c r="B725"/>
    </row>
    <row r="726" spans="1:2">
      <c r="A726" s="1" t="s">
        <v>1193</v>
      </c>
      <c r="B726"/>
    </row>
    <row r="727" spans="1:2">
      <c r="A727" s="1" t="s">
        <v>1146</v>
      </c>
      <c r="B727"/>
    </row>
    <row r="728" spans="1:2">
      <c r="A728" s="1" t="s">
        <v>1156</v>
      </c>
      <c r="B728"/>
    </row>
    <row r="729" spans="1:2">
      <c r="A729" s="1" t="s">
        <v>1158</v>
      </c>
      <c r="B729"/>
    </row>
    <row r="730" spans="1:2">
      <c r="A730" s="1" t="s">
        <v>1220</v>
      </c>
      <c r="B730"/>
    </row>
    <row r="731" spans="1:2">
      <c r="A731" s="1" t="s">
        <v>1364</v>
      </c>
      <c r="B731"/>
    </row>
    <row r="732" spans="1:2">
      <c r="A732" s="1" t="s">
        <v>1152</v>
      </c>
      <c r="B732"/>
    </row>
    <row r="733" spans="1:2">
      <c r="A733" s="1" t="s">
        <v>1194</v>
      </c>
      <c r="B733"/>
    </row>
    <row r="734" spans="1:2">
      <c r="A734" s="1" t="s">
        <v>1365</v>
      </c>
      <c r="B734"/>
    </row>
    <row r="735" spans="1:2">
      <c r="A735" s="1" t="s">
        <v>1156</v>
      </c>
      <c r="B735"/>
    </row>
    <row r="736" spans="1:2">
      <c r="A736" s="1" t="s">
        <v>1366</v>
      </c>
      <c r="B736"/>
    </row>
    <row r="737" spans="1:2">
      <c r="A737" s="1" t="s">
        <v>1367</v>
      </c>
      <c r="B737"/>
    </row>
    <row r="738" spans="1:2">
      <c r="A738" s="1" t="s">
        <v>1143</v>
      </c>
      <c r="B738"/>
    </row>
    <row r="739" spans="1:2">
      <c r="A739" s="1" t="s">
        <v>1183</v>
      </c>
      <c r="B739"/>
    </row>
    <row r="740" spans="1:2">
      <c r="A740" s="1" t="s">
        <v>1258</v>
      </c>
      <c r="B740"/>
    </row>
    <row r="741" spans="1:2">
      <c r="A741" s="1" t="s">
        <v>1194</v>
      </c>
      <c r="B741"/>
    </row>
    <row r="742" spans="1:2">
      <c r="A742" s="1" t="s">
        <v>1145</v>
      </c>
      <c r="B742"/>
    </row>
    <row r="743" spans="1:2">
      <c r="A743" s="1" t="s">
        <v>1368</v>
      </c>
      <c r="B743"/>
    </row>
    <row r="744" spans="1:2">
      <c r="A744" s="1" t="s">
        <v>1210</v>
      </c>
      <c r="B744"/>
    </row>
    <row r="745" spans="1:2">
      <c r="A745" s="1" t="s">
        <v>1369</v>
      </c>
      <c r="B745"/>
    </row>
    <row r="746" spans="1:2">
      <c r="A746" s="1" t="s">
        <v>1370</v>
      </c>
      <c r="B746"/>
    </row>
    <row r="747" spans="1:2">
      <c r="A747" s="1" t="s">
        <v>1371</v>
      </c>
      <c r="B747"/>
    </row>
    <row r="748" spans="1:2">
      <c r="A748" s="1" t="s">
        <v>1316</v>
      </c>
      <c r="B748"/>
    </row>
    <row r="749" spans="1:2">
      <c r="A749" s="1" t="s">
        <v>1226</v>
      </c>
      <c r="B749"/>
    </row>
    <row r="750" spans="1:2">
      <c r="A750" s="1" t="s">
        <v>1188</v>
      </c>
      <c r="B750"/>
    </row>
    <row r="751" spans="1:2">
      <c r="A751" s="1" t="s">
        <v>1154</v>
      </c>
      <c r="B751"/>
    </row>
    <row r="752" spans="1:2">
      <c r="A752" s="1" t="s">
        <v>1372</v>
      </c>
      <c r="B752"/>
    </row>
    <row r="753" spans="1:2">
      <c r="A753" s="1" t="s">
        <v>1209</v>
      </c>
      <c r="B753"/>
    </row>
    <row r="754" spans="1:2">
      <c r="A754" s="1" t="s">
        <v>1241</v>
      </c>
      <c r="B754"/>
    </row>
    <row r="755" spans="1:2">
      <c r="A755" s="1" t="s">
        <v>1373</v>
      </c>
      <c r="B755"/>
    </row>
    <row r="756" spans="1:2">
      <c r="A756" s="1" t="s">
        <v>1374</v>
      </c>
      <c r="B756"/>
    </row>
    <row r="757" spans="1:2">
      <c r="A757" s="1" t="s">
        <v>1375</v>
      </c>
      <c r="B757"/>
    </row>
    <row r="758" spans="1:2">
      <c r="A758" s="1" t="s">
        <v>1198</v>
      </c>
      <c r="B758"/>
    </row>
    <row r="759" spans="1:2">
      <c r="A759" s="1" t="s">
        <v>1376</v>
      </c>
      <c r="B759"/>
    </row>
    <row r="760" spans="1:2">
      <c r="A760" s="1" t="s">
        <v>1156</v>
      </c>
      <c r="B760"/>
    </row>
    <row r="761" spans="1:2">
      <c r="A761" s="1" t="s">
        <v>1377</v>
      </c>
      <c r="B761"/>
    </row>
    <row r="762" spans="1:2">
      <c r="A762" s="1" t="s">
        <v>1378</v>
      </c>
      <c r="B762"/>
    </row>
    <row r="763" spans="1:2">
      <c r="A763" s="1" t="s">
        <v>1171</v>
      </c>
      <c r="B763"/>
    </row>
    <row r="764" spans="1:2">
      <c r="A764" s="1" t="s">
        <v>1379</v>
      </c>
      <c r="B764"/>
    </row>
    <row r="765" spans="1:2">
      <c r="A765" s="1" t="s">
        <v>1156</v>
      </c>
      <c r="B765"/>
    </row>
    <row r="766" spans="1:2">
      <c r="A766" s="1" t="s">
        <v>1303</v>
      </c>
      <c r="B766"/>
    </row>
    <row r="767" spans="1:2">
      <c r="A767" s="1" t="s">
        <v>1212</v>
      </c>
      <c r="B767"/>
    </row>
    <row r="768" spans="1:2">
      <c r="A768" s="1" t="s">
        <v>1304</v>
      </c>
      <c r="B768"/>
    </row>
    <row r="769" spans="1:2">
      <c r="A769" s="1" t="s">
        <v>1287</v>
      </c>
      <c r="B769"/>
    </row>
    <row r="770" spans="1:2">
      <c r="A770" s="1" t="s">
        <v>1155</v>
      </c>
      <c r="B770"/>
    </row>
    <row r="771" spans="1:2">
      <c r="A771" s="1" t="s">
        <v>1380</v>
      </c>
      <c r="B771"/>
    </row>
    <row r="772" spans="1:2">
      <c r="A772" s="1" t="s">
        <v>1152</v>
      </c>
      <c r="B772"/>
    </row>
    <row r="773" spans="1:2">
      <c r="A773" s="1" t="s">
        <v>1162</v>
      </c>
      <c r="B773"/>
    </row>
    <row r="774" spans="1:2">
      <c r="A774" s="1" t="s">
        <v>1153</v>
      </c>
      <c r="B774"/>
    </row>
    <row r="775" spans="1:2">
      <c r="A775" s="1" t="s">
        <v>1148</v>
      </c>
      <c r="B775"/>
    </row>
    <row r="776" spans="1:2">
      <c r="A776" s="1" t="s">
        <v>1156</v>
      </c>
      <c r="B776"/>
    </row>
    <row r="777" spans="1:2">
      <c r="A777" s="1" t="s">
        <v>1151</v>
      </c>
      <c r="B777"/>
    </row>
    <row r="778" spans="1:2">
      <c r="A778" s="1" t="s">
        <v>1149</v>
      </c>
      <c r="B778"/>
    </row>
    <row r="779" spans="1:2">
      <c r="A779" s="1" t="s">
        <v>1169</v>
      </c>
      <c r="B779"/>
    </row>
    <row r="780" spans="1:2">
      <c r="A780" s="1" t="s">
        <v>1381</v>
      </c>
      <c r="B780"/>
    </row>
    <row r="781" spans="1:2">
      <c r="A781" s="1" t="s">
        <v>1382</v>
      </c>
      <c r="B781"/>
    </row>
    <row r="782" spans="1:2">
      <c r="A782" s="1" t="s">
        <v>1156</v>
      </c>
      <c r="B782"/>
    </row>
    <row r="783" spans="1:2">
      <c r="A783" s="1" t="s">
        <v>1152</v>
      </c>
      <c r="B783"/>
    </row>
    <row r="784" spans="1:2">
      <c r="A784" s="1" t="s">
        <v>1198</v>
      </c>
      <c r="B784"/>
    </row>
    <row r="785" spans="1:2">
      <c r="A785" s="1" t="s">
        <v>1383</v>
      </c>
      <c r="B785"/>
    </row>
    <row r="786" spans="1:2">
      <c r="A786" s="1" t="s">
        <v>1151</v>
      </c>
      <c r="B786"/>
    </row>
    <row r="787" spans="1:2">
      <c r="A787" s="1" t="s">
        <v>1384</v>
      </c>
      <c r="B787"/>
    </row>
    <row r="788" spans="1:2">
      <c r="A788" s="1" t="s">
        <v>1212</v>
      </c>
      <c r="B788"/>
    </row>
    <row r="789" spans="1:2">
      <c r="A789" s="1" t="s">
        <v>1154</v>
      </c>
      <c r="B789"/>
    </row>
    <row r="790" spans="1:2">
      <c r="A790" s="1" t="s">
        <v>1251</v>
      </c>
      <c r="B790"/>
    </row>
    <row r="791" spans="1:2">
      <c r="A791" s="1" t="s">
        <v>1155</v>
      </c>
      <c r="B791"/>
    </row>
    <row r="792" spans="1:2">
      <c r="A792" s="1" t="s">
        <v>1160</v>
      </c>
      <c r="B792"/>
    </row>
    <row r="793" spans="1:2">
      <c r="A793" s="1" t="s">
        <v>1385</v>
      </c>
      <c r="B793"/>
    </row>
    <row r="794" spans="1:2">
      <c r="A794" s="1" t="s">
        <v>1386</v>
      </c>
      <c r="B794"/>
    </row>
    <row r="795" spans="1:2">
      <c r="A795" s="1" t="s">
        <v>1149</v>
      </c>
      <c r="B795"/>
    </row>
    <row r="796" spans="1:2">
      <c r="A796" s="1" t="s">
        <v>1486</v>
      </c>
      <c r="B796"/>
    </row>
    <row r="797" spans="1:2">
      <c r="A797" s="1" t="s">
        <v>1388</v>
      </c>
      <c r="B797"/>
    </row>
    <row r="798" spans="1:2">
      <c r="A798" s="1" t="s">
        <v>1361</v>
      </c>
      <c r="B798"/>
    </row>
    <row r="799" spans="1:2">
      <c r="A799" s="1" t="s">
        <v>1389</v>
      </c>
      <c r="B799"/>
    </row>
    <row r="800" spans="1:2">
      <c r="A800" s="1" t="s">
        <v>1238</v>
      </c>
      <c r="B800"/>
    </row>
    <row r="801" spans="1:2">
      <c r="A801" s="1" t="s">
        <v>1239</v>
      </c>
      <c r="B801"/>
    </row>
    <row r="802" spans="1:2">
      <c r="A802" s="1" t="s">
        <v>1390</v>
      </c>
      <c r="B802"/>
    </row>
    <row r="803" spans="1:2">
      <c r="A803" s="1" t="s">
        <v>1230</v>
      </c>
      <c r="B803"/>
    </row>
    <row r="804" spans="1:2">
      <c r="A804" s="1" t="s">
        <v>1391</v>
      </c>
      <c r="B804"/>
    </row>
    <row r="805" spans="1:2">
      <c r="A805" s="1" t="s">
        <v>1392</v>
      </c>
      <c r="B805"/>
    </row>
    <row r="806" spans="1:2">
      <c r="A806" s="1" t="s">
        <v>1198</v>
      </c>
      <c r="B806"/>
    </row>
    <row r="807" spans="1:2">
      <c r="A807" s="1" t="s">
        <v>1257</v>
      </c>
      <c r="B807"/>
    </row>
    <row r="808" spans="1:2">
      <c r="A808" s="1" t="s">
        <v>1149</v>
      </c>
      <c r="B808"/>
    </row>
    <row r="809" spans="1:2">
      <c r="A809" s="1" t="s">
        <v>1393</v>
      </c>
      <c r="B809"/>
    </row>
    <row r="810" spans="1:2">
      <c r="A810" s="1" t="s">
        <v>1214</v>
      </c>
      <c r="B810"/>
    </row>
    <row r="811" spans="1:2">
      <c r="A811" s="1" t="s">
        <v>1394</v>
      </c>
      <c r="B811"/>
    </row>
    <row r="812" spans="1:2">
      <c r="A812" s="1" t="s">
        <v>1395</v>
      </c>
      <c r="B812"/>
    </row>
    <row r="813" spans="1:2">
      <c r="A813" s="1" t="s">
        <v>1162</v>
      </c>
      <c r="B813"/>
    </row>
    <row r="814" spans="1:2">
      <c r="A814" s="1" t="s">
        <v>1150</v>
      </c>
      <c r="B814"/>
    </row>
    <row r="815" spans="1:2">
      <c r="A815" s="1" t="s">
        <v>1173</v>
      </c>
      <c r="B815"/>
    </row>
    <row r="816" spans="1:2">
      <c r="A816" s="1" t="s">
        <v>1160</v>
      </c>
      <c r="B816"/>
    </row>
    <row r="817" spans="1:2">
      <c r="A817" s="1" t="s">
        <v>1156</v>
      </c>
      <c r="B817"/>
    </row>
    <row r="818" spans="1:2">
      <c r="A818" s="1" t="s">
        <v>1241</v>
      </c>
      <c r="B818"/>
    </row>
    <row r="819" spans="1:2">
      <c r="A819" s="1" t="s">
        <v>1396</v>
      </c>
      <c r="B819"/>
    </row>
    <row r="820" spans="1:2">
      <c r="A820" s="1" t="s">
        <v>1397</v>
      </c>
      <c r="B820"/>
    </row>
    <row r="821" spans="1:2">
      <c r="A821" s="1" t="s">
        <v>1398</v>
      </c>
      <c r="B821"/>
    </row>
    <row r="822" spans="1:2">
      <c r="A822" s="1" t="s">
        <v>1399</v>
      </c>
      <c r="B822"/>
    </row>
    <row r="823" spans="1:2">
      <c r="A823" s="1" t="s">
        <v>1400</v>
      </c>
      <c r="B823"/>
    </row>
    <row r="824" spans="1:2">
      <c r="A824" s="1" t="s">
        <v>1401</v>
      </c>
      <c r="B824"/>
    </row>
    <row r="825" spans="1:2">
      <c r="A825" s="1" t="s">
        <v>1402</v>
      </c>
      <c r="B825"/>
    </row>
    <row r="826" spans="1:2">
      <c r="A826" s="1" t="s">
        <v>1403</v>
      </c>
      <c r="B826"/>
    </row>
    <row r="827" spans="1:2">
      <c r="A827" s="1" t="s">
        <v>737</v>
      </c>
      <c r="B827"/>
    </row>
    <row r="828" spans="1:2">
      <c r="A828" s="1" t="s">
        <v>915</v>
      </c>
      <c r="B828"/>
    </row>
    <row r="829" spans="1:2">
      <c r="A829" s="1" t="s">
        <v>1404</v>
      </c>
      <c r="B829"/>
    </row>
    <row r="830" spans="1:2">
      <c r="A830" s="1" t="s">
        <v>1405</v>
      </c>
      <c r="B830"/>
    </row>
    <row r="831" spans="1:2">
      <c r="A831" s="1" t="s">
        <v>1406</v>
      </c>
      <c r="B831"/>
    </row>
    <row r="832" spans="1:2">
      <c r="A832" s="1" t="s">
        <v>1407</v>
      </c>
      <c r="B832"/>
    </row>
    <row r="833" spans="1:2">
      <c r="A833" s="1" t="s">
        <v>1408</v>
      </c>
      <c r="B833"/>
    </row>
    <row r="834" spans="1:2">
      <c r="A834" s="1" t="s">
        <v>1403</v>
      </c>
      <c r="B834"/>
    </row>
    <row r="835" spans="1:2">
      <c r="A835" s="1" t="s">
        <v>1227</v>
      </c>
      <c r="B835"/>
    </row>
    <row r="836" spans="1:2">
      <c r="A836" s="1" t="s">
        <v>1409</v>
      </c>
      <c r="B836"/>
    </row>
    <row r="837" spans="1:2">
      <c r="A837" s="1" t="s">
        <v>1300</v>
      </c>
      <c r="B837"/>
    </row>
    <row r="838" spans="1:2">
      <c r="A838" s="1" t="s">
        <v>1410</v>
      </c>
      <c r="B838"/>
    </row>
    <row r="839" spans="1:2">
      <c r="A839" s="1" t="s">
        <v>1411</v>
      </c>
      <c r="B839"/>
    </row>
    <row r="840" spans="1:2">
      <c r="A840" s="1" t="s">
        <v>1156</v>
      </c>
      <c r="B840"/>
    </row>
    <row r="841" spans="1:2">
      <c r="A841" s="1" t="s">
        <v>1412</v>
      </c>
      <c r="B841"/>
    </row>
    <row r="842" spans="1:2">
      <c r="A842" s="1" t="s">
        <v>1413</v>
      </c>
      <c r="B842"/>
    </row>
    <row r="843" spans="1:2">
      <c r="A843" s="1" t="s">
        <v>1414</v>
      </c>
      <c r="B843"/>
    </row>
    <row r="844" spans="1:2">
      <c r="A844" s="1" t="s">
        <v>1277</v>
      </c>
      <c r="B844"/>
    </row>
    <row r="845" spans="1:2">
      <c r="A845" s="1" t="s">
        <v>1155</v>
      </c>
      <c r="B845"/>
    </row>
    <row r="846" spans="1:2">
      <c r="A846" s="1" t="s">
        <v>1294</v>
      </c>
      <c r="B846"/>
    </row>
    <row r="847" spans="1:2">
      <c r="A847" s="1" t="s">
        <v>1305</v>
      </c>
      <c r="B847"/>
    </row>
    <row r="848" spans="1:2">
      <c r="A848" s="1" t="s">
        <v>1415</v>
      </c>
      <c r="B848"/>
    </row>
    <row r="849" spans="1:2">
      <c r="A849" s="1" t="s">
        <v>1416</v>
      </c>
      <c r="B849"/>
    </row>
    <row r="850" spans="1:2">
      <c r="A850" s="1" t="s">
        <v>1417</v>
      </c>
      <c r="B850"/>
    </row>
    <row r="851" spans="1:2">
      <c r="A851" s="1" t="s">
        <v>1418</v>
      </c>
      <c r="B851"/>
    </row>
    <row r="852" spans="1:2">
      <c r="A852" s="1" t="s">
        <v>1403</v>
      </c>
      <c r="B852"/>
    </row>
    <row r="853" spans="1:2">
      <c r="A853" s="1" t="s">
        <v>1287</v>
      </c>
      <c r="B853"/>
    </row>
    <row r="854" spans="1:2">
      <c r="A854" s="1" t="s">
        <v>1408</v>
      </c>
      <c r="B854"/>
    </row>
    <row r="855" spans="1:2">
      <c r="A855" s="1" t="s">
        <v>1303</v>
      </c>
      <c r="B855"/>
    </row>
    <row r="856" spans="1:2">
      <c r="A856" s="1" t="s">
        <v>1288</v>
      </c>
      <c r="B856"/>
    </row>
    <row r="857" spans="1:2">
      <c r="A857" s="1" t="s">
        <v>1159</v>
      </c>
      <c r="B857"/>
    </row>
    <row r="858" spans="1:2">
      <c r="A858" s="1" t="s">
        <v>1407</v>
      </c>
      <c r="B858"/>
    </row>
    <row r="859" spans="1:2">
      <c r="A859" s="1" t="s">
        <v>1220</v>
      </c>
      <c r="B859"/>
    </row>
    <row r="860" spans="1:2">
      <c r="A860" s="1" t="s">
        <v>1156</v>
      </c>
      <c r="B860"/>
    </row>
    <row r="861" spans="1:2">
      <c r="A861" s="1" t="s">
        <v>1419</v>
      </c>
      <c r="B861"/>
    </row>
    <row r="862" spans="1:2">
      <c r="A862" s="1" t="s">
        <v>1256</v>
      </c>
      <c r="B862"/>
    </row>
    <row r="863" spans="1:2">
      <c r="A863" s="1" t="s">
        <v>1349</v>
      </c>
      <c r="B863"/>
    </row>
    <row r="864" spans="1:2">
      <c r="A864" s="1" t="s">
        <v>1146</v>
      </c>
      <c r="B864"/>
    </row>
    <row r="865" spans="1:2">
      <c r="A865" s="1" t="s">
        <v>1158</v>
      </c>
      <c r="B865"/>
    </row>
    <row r="866" spans="1:2">
      <c r="A866" s="1" t="s">
        <v>1283</v>
      </c>
      <c r="B866"/>
    </row>
    <row r="867" spans="1:2">
      <c r="A867" s="1" t="s">
        <v>1183</v>
      </c>
      <c r="B867"/>
    </row>
    <row r="868" spans="1:2">
      <c r="A868" s="1" t="s">
        <v>1156</v>
      </c>
      <c r="B868"/>
    </row>
    <row r="869" spans="1:2">
      <c r="A869" s="1" t="s">
        <v>1180</v>
      </c>
      <c r="B869"/>
    </row>
    <row r="870" spans="1:2">
      <c r="A870" s="1" t="s">
        <v>1161</v>
      </c>
      <c r="B870"/>
    </row>
    <row r="871" spans="1:2">
      <c r="A871" s="1" t="s">
        <v>1181</v>
      </c>
      <c r="B871"/>
    </row>
    <row r="872" spans="1:2">
      <c r="A872" s="1" t="s">
        <v>1144</v>
      </c>
      <c r="B872"/>
    </row>
    <row r="873" spans="1:2">
      <c r="A873" s="1" t="s">
        <v>1147</v>
      </c>
      <c r="B873"/>
    </row>
    <row r="874" spans="1:2">
      <c r="A874" s="1" t="s">
        <v>1175</v>
      </c>
      <c r="B874"/>
    </row>
    <row r="875" spans="1:2">
      <c r="A875" s="1" t="s">
        <v>1144</v>
      </c>
      <c r="B875"/>
    </row>
    <row r="876" spans="1:2">
      <c r="A876" s="1" t="s">
        <v>1420</v>
      </c>
      <c r="B876"/>
    </row>
    <row r="877" spans="1:2">
      <c r="A877" s="1" t="s">
        <v>1421</v>
      </c>
      <c r="B877"/>
    </row>
    <row r="878" spans="1:2">
      <c r="A878" s="1" t="s">
        <v>1302</v>
      </c>
      <c r="B878"/>
    </row>
    <row r="879" spans="1:2">
      <c r="A879" s="1" t="s">
        <v>1422</v>
      </c>
      <c r="B879"/>
    </row>
    <row r="880" spans="1:2">
      <c r="A880" s="1" t="s">
        <v>1423</v>
      </c>
      <c r="B880"/>
    </row>
    <row r="881" spans="1:2">
      <c r="A881" s="1" t="s">
        <v>1175</v>
      </c>
      <c r="B881"/>
    </row>
    <row r="882" spans="1:2">
      <c r="A882" s="1" t="s">
        <v>1160</v>
      </c>
      <c r="B882"/>
    </row>
    <row r="883" spans="1:2">
      <c r="A883" s="1" t="s">
        <v>1184</v>
      </c>
      <c r="B883"/>
    </row>
    <row r="884" spans="1:2">
      <c r="A884" s="1" t="s">
        <v>1156</v>
      </c>
      <c r="B884"/>
    </row>
    <row r="885" spans="1:2">
      <c r="A885" s="1" t="s">
        <v>1424</v>
      </c>
      <c r="B885"/>
    </row>
    <row r="886" spans="1:2">
      <c r="A886" s="1" t="s">
        <v>1287</v>
      </c>
      <c r="B886"/>
    </row>
    <row r="887" spans="1:2">
      <c r="A887" s="1" t="s">
        <v>1216</v>
      </c>
      <c r="B887"/>
    </row>
    <row r="888" spans="1:2">
      <c r="A888" s="1" t="s">
        <v>1144</v>
      </c>
      <c r="B888"/>
    </row>
    <row r="889" spans="1:2">
      <c r="A889" s="1" t="s">
        <v>1425</v>
      </c>
      <c r="B889"/>
    </row>
    <row r="890" spans="1:2">
      <c r="A890" s="1" t="s">
        <v>1227</v>
      </c>
      <c r="B890"/>
    </row>
    <row r="891" spans="1:2">
      <c r="A891" s="1" t="s">
        <v>1220</v>
      </c>
      <c r="B891"/>
    </row>
    <row r="892" spans="1:2">
      <c r="A892" s="1" t="s">
        <v>1257</v>
      </c>
      <c r="B892"/>
    </row>
    <row r="893" spans="1:2">
      <c r="A893" s="1" t="s">
        <v>1216</v>
      </c>
      <c r="B893"/>
    </row>
    <row r="894" spans="1:2">
      <c r="A894" s="1" t="s">
        <v>1158</v>
      </c>
      <c r="B894"/>
    </row>
    <row r="895" spans="1:2">
      <c r="A895" s="1" t="s">
        <v>1184</v>
      </c>
      <c r="B895"/>
    </row>
    <row r="896" spans="1:2">
      <c r="A896" s="1" t="s">
        <v>1156</v>
      </c>
      <c r="B896"/>
    </row>
    <row r="897" spans="1:2">
      <c r="A897" s="1" t="s">
        <v>1215</v>
      </c>
      <c r="B897"/>
    </row>
    <row r="898" spans="1:2">
      <c r="A898" s="1" t="s">
        <v>1147</v>
      </c>
      <c r="B898"/>
    </row>
    <row r="899" spans="1:2">
      <c r="A899" s="1" t="s">
        <v>1282</v>
      </c>
      <c r="B899"/>
    </row>
    <row r="900" spans="1:2">
      <c r="A900" s="1" t="s">
        <v>1322</v>
      </c>
      <c r="B900"/>
    </row>
    <row r="901" spans="1:2">
      <c r="A901" s="1" t="s">
        <v>1426</v>
      </c>
      <c r="B901"/>
    </row>
    <row r="902" spans="1:2">
      <c r="A902" s="1" t="s">
        <v>1179</v>
      </c>
      <c r="B902"/>
    </row>
    <row r="903" spans="1:2">
      <c r="A903" s="1" t="s">
        <v>1159</v>
      </c>
      <c r="B903"/>
    </row>
    <row r="904" spans="1:2">
      <c r="A904" s="1" t="s">
        <v>1237</v>
      </c>
      <c r="B904"/>
    </row>
    <row r="905" spans="1:2">
      <c r="A905" s="1" t="s">
        <v>1214</v>
      </c>
      <c r="B905"/>
    </row>
    <row r="906" spans="1:2">
      <c r="A906" s="1" t="s">
        <v>1257</v>
      </c>
      <c r="B906"/>
    </row>
    <row r="907" spans="1:2">
      <c r="A907" s="1" t="s">
        <v>1220</v>
      </c>
      <c r="B907"/>
    </row>
    <row r="908" spans="1:2">
      <c r="A908" s="1" t="s">
        <v>1227</v>
      </c>
      <c r="B908"/>
    </row>
    <row r="909" spans="1:2">
      <c r="A909" s="1" t="s">
        <v>1231</v>
      </c>
      <c r="B909"/>
    </row>
    <row r="910" spans="1:2">
      <c r="A910" s="1" t="s">
        <v>1156</v>
      </c>
      <c r="B910"/>
    </row>
    <row r="911" spans="1:2">
      <c r="A911" s="1" t="s">
        <v>1211</v>
      </c>
      <c r="B911"/>
    </row>
    <row r="912" spans="1:2">
      <c r="A912" s="1" t="s">
        <v>1258</v>
      </c>
      <c r="B912"/>
    </row>
    <row r="913" spans="1:2">
      <c r="A913" s="1" t="s">
        <v>1169</v>
      </c>
      <c r="B913"/>
    </row>
    <row r="914" spans="1:2">
      <c r="A914" s="1" t="s">
        <v>985</v>
      </c>
      <c r="B914"/>
    </row>
    <row r="915" spans="1:2">
      <c r="A915" s="1" t="s">
        <v>1427</v>
      </c>
      <c r="B915"/>
    </row>
    <row r="916" spans="1:2">
      <c r="A916" s="1" t="s">
        <v>1153</v>
      </c>
      <c r="B916"/>
    </row>
    <row r="917" spans="1:2">
      <c r="A917" s="1" t="s">
        <v>1428</v>
      </c>
      <c r="B917"/>
    </row>
    <row r="918" spans="1:2">
      <c r="A918" s="1" t="s">
        <v>1183</v>
      </c>
      <c r="B918"/>
    </row>
    <row r="919" spans="1:2">
      <c r="A919" s="1" t="s">
        <v>1429</v>
      </c>
      <c r="B919"/>
    </row>
    <row r="920" spans="1:2">
      <c r="A920" s="1" t="s">
        <v>1212</v>
      </c>
      <c r="B920"/>
    </row>
    <row r="921" spans="1:2">
      <c r="A921" s="1" t="s">
        <v>1166</v>
      </c>
      <c r="B921"/>
    </row>
    <row r="922" spans="1:2">
      <c r="A922" s="1" t="s">
        <v>1190</v>
      </c>
      <c r="B922"/>
    </row>
    <row r="923" spans="1:2">
      <c r="A923" s="1" t="s">
        <v>1161</v>
      </c>
      <c r="B923"/>
    </row>
    <row r="924" spans="1:2">
      <c r="A924" s="1" t="s">
        <v>1430</v>
      </c>
      <c r="B924"/>
    </row>
    <row r="925" spans="1:2">
      <c r="A925" s="1" t="s">
        <v>1156</v>
      </c>
      <c r="B925"/>
    </row>
    <row r="926" spans="1:2">
      <c r="A926" s="1" t="s">
        <v>1146</v>
      </c>
      <c r="B926"/>
    </row>
    <row r="927" spans="1:2">
      <c r="A927" s="1" t="s">
        <v>1147</v>
      </c>
      <c r="B927"/>
    </row>
    <row r="928" spans="1:2">
      <c r="A928" s="1" t="s">
        <v>1431</v>
      </c>
      <c r="B928"/>
    </row>
    <row r="929" spans="1:2">
      <c r="A929" s="1" t="s">
        <v>1224</v>
      </c>
      <c r="B929"/>
    </row>
    <row r="930" spans="1:2">
      <c r="A930" s="1" t="s">
        <v>1189</v>
      </c>
      <c r="B930"/>
    </row>
    <row r="931" spans="1:2">
      <c r="A931" s="1" t="s">
        <v>1243</v>
      </c>
      <c r="B931"/>
    </row>
    <row r="932" spans="1:2">
      <c r="A932" s="1" t="s">
        <v>1432</v>
      </c>
      <c r="B932"/>
    </row>
    <row r="933" spans="1:2">
      <c r="A933" s="1" t="s">
        <v>1433</v>
      </c>
      <c r="B933"/>
    </row>
    <row r="934" spans="1:2">
      <c r="A934" s="1" t="s">
        <v>1209</v>
      </c>
      <c r="B934"/>
    </row>
    <row r="935" spans="1:2">
      <c r="A935" s="1" t="s">
        <v>1376</v>
      </c>
      <c r="B935"/>
    </row>
    <row r="936" spans="1:2">
      <c r="A936" s="1" t="s">
        <v>1156</v>
      </c>
      <c r="B936"/>
    </row>
    <row r="937" spans="1:2">
      <c r="A937" s="1" t="s">
        <v>1241</v>
      </c>
      <c r="B937"/>
    </row>
    <row r="938" spans="1:2">
      <c r="A938" s="1" t="s">
        <v>1434</v>
      </c>
      <c r="B938"/>
    </row>
    <row r="939" spans="1:2">
      <c r="A939" s="1" t="s">
        <v>1435</v>
      </c>
      <c r="B939"/>
    </row>
    <row r="940" spans="1:2">
      <c r="A940" s="1" t="s">
        <v>1144</v>
      </c>
      <c r="B940"/>
    </row>
    <row r="941" spans="1:2">
      <c r="A941" s="1" t="s">
        <v>1436</v>
      </c>
      <c r="B941"/>
    </row>
    <row r="942" spans="1:2">
      <c r="A942" s="1" t="s">
        <v>1158</v>
      </c>
      <c r="B942"/>
    </row>
    <row r="943" spans="1:2">
      <c r="A943" s="1" t="s">
        <v>1190</v>
      </c>
      <c r="B943"/>
    </row>
    <row r="944" spans="1:2">
      <c r="A944" s="1" t="s">
        <v>1246</v>
      </c>
      <c r="B944"/>
    </row>
    <row r="945" spans="1:2">
      <c r="A945" s="1" t="s">
        <v>1272</v>
      </c>
      <c r="B945"/>
    </row>
    <row r="946" spans="1:2">
      <c r="A946" s="1" t="s">
        <v>1209</v>
      </c>
      <c r="B946"/>
    </row>
    <row r="947" spans="1:2">
      <c r="A947" s="1" t="s">
        <v>1170</v>
      </c>
      <c r="B947"/>
    </row>
    <row r="948" spans="1:2">
      <c r="A948" s="1" t="s">
        <v>1437</v>
      </c>
      <c r="B948"/>
    </row>
    <row r="949" spans="1:2">
      <c r="A949" s="1" t="s">
        <v>1438</v>
      </c>
      <c r="B949"/>
    </row>
    <row r="950" spans="1:2">
      <c r="A950" s="1" t="s">
        <v>1439</v>
      </c>
      <c r="B950"/>
    </row>
    <row r="951" spans="1:2">
      <c r="A951" s="1" t="s">
        <v>1440</v>
      </c>
      <c r="B951"/>
    </row>
    <row r="952" spans="1:2">
      <c r="A952" s="1" t="s">
        <v>1441</v>
      </c>
      <c r="B952"/>
    </row>
    <row r="953" spans="1:2">
      <c r="A953" s="1" t="s">
        <v>1241</v>
      </c>
      <c r="B953"/>
    </row>
    <row r="954" spans="1:2">
      <c r="A954" s="1" t="s">
        <v>1430</v>
      </c>
      <c r="B954"/>
    </row>
    <row r="955" spans="1:2">
      <c r="A955" s="1" t="s">
        <v>1167</v>
      </c>
      <c r="B955"/>
    </row>
    <row r="956" spans="1:2">
      <c r="A956" s="1" t="s">
        <v>1442</v>
      </c>
      <c r="B956"/>
    </row>
    <row r="957" spans="1:2">
      <c r="A957" s="1" t="s">
        <v>1169</v>
      </c>
      <c r="B957"/>
    </row>
    <row r="958" spans="1:2">
      <c r="A958" s="1" t="s">
        <v>1443</v>
      </c>
      <c r="B958"/>
    </row>
    <row r="959" spans="1:2">
      <c r="A959" s="1" t="s">
        <v>1444</v>
      </c>
      <c r="B959"/>
    </row>
    <row r="960" spans="1:2">
      <c r="A960" s="1" t="s">
        <v>1445</v>
      </c>
      <c r="B960"/>
    </row>
    <row r="961" spans="1:2">
      <c r="A961" s="1" t="s">
        <v>1440</v>
      </c>
      <c r="B961"/>
    </row>
    <row r="962" spans="1:2">
      <c r="A962" s="1" t="s">
        <v>1446</v>
      </c>
      <c r="B962"/>
    </row>
    <row r="963" spans="1:2">
      <c r="A963" s="1" t="s">
        <v>1420</v>
      </c>
      <c r="B963"/>
    </row>
    <row r="964" spans="1:2">
      <c r="A964" s="1" t="s">
        <v>1447</v>
      </c>
      <c r="B964"/>
    </row>
    <row r="965" spans="1:2">
      <c r="A965" s="1" t="s">
        <v>1448</v>
      </c>
      <c r="B965"/>
    </row>
    <row r="966" spans="1:2">
      <c r="A966" s="1" t="s">
        <v>1223</v>
      </c>
      <c r="B966"/>
    </row>
    <row r="967" spans="1:2">
      <c r="A967" s="1" t="s">
        <v>1150</v>
      </c>
      <c r="B967"/>
    </row>
    <row r="968" spans="1:2">
      <c r="A968" s="1" t="s">
        <v>1188</v>
      </c>
      <c r="B968"/>
    </row>
    <row r="969" spans="1:2">
      <c r="A969" s="1" t="s">
        <v>1449</v>
      </c>
      <c r="B969"/>
    </row>
    <row r="970" spans="1:2">
      <c r="A970" s="1" t="s">
        <v>1203</v>
      </c>
      <c r="B970"/>
    </row>
    <row r="971" spans="1:2">
      <c r="A971" s="1" t="s">
        <v>1212</v>
      </c>
      <c r="B971"/>
    </row>
    <row r="972" spans="1:2">
      <c r="A972" s="1" t="s">
        <v>1183</v>
      </c>
      <c r="B972"/>
    </row>
    <row r="973" spans="1:2">
      <c r="A973" s="1" t="s">
        <v>1143</v>
      </c>
      <c r="B973"/>
    </row>
    <row r="974" spans="1:2">
      <c r="A974" s="1" t="s">
        <v>1449</v>
      </c>
      <c r="B974"/>
    </row>
    <row r="975" spans="1:2">
      <c r="A975" s="1" t="s">
        <v>1183</v>
      </c>
      <c r="B975"/>
    </row>
    <row r="976" spans="1:2">
      <c r="A976" s="1" t="s">
        <v>1203</v>
      </c>
      <c r="B976"/>
    </row>
    <row r="977" spans="1:2">
      <c r="A977" s="1" t="s">
        <v>1209</v>
      </c>
      <c r="B977"/>
    </row>
    <row r="978" spans="1:2">
      <c r="A978" s="1" t="s">
        <v>1287</v>
      </c>
      <c r="B978"/>
    </row>
    <row r="979" spans="1:2">
      <c r="A979" s="1" t="s">
        <v>1450</v>
      </c>
      <c r="B979"/>
    </row>
    <row r="980" spans="1:2">
      <c r="A980" s="1" t="s">
        <v>1260</v>
      </c>
      <c r="B980"/>
    </row>
    <row r="981" spans="1:2">
      <c r="A981" s="1" t="s">
        <v>1156</v>
      </c>
      <c r="B981"/>
    </row>
    <row r="982" spans="1:2">
      <c r="A982" s="1" t="s">
        <v>734</v>
      </c>
      <c r="B982"/>
    </row>
    <row r="983" spans="1:2">
      <c r="A983" s="1" t="s">
        <v>1146</v>
      </c>
      <c r="B983"/>
    </row>
    <row r="984" spans="1:2">
      <c r="A984" s="1" t="s">
        <v>1147</v>
      </c>
      <c r="B984"/>
    </row>
    <row r="985" spans="1:2">
      <c r="A985" s="1" t="s">
        <v>1183</v>
      </c>
      <c r="B985"/>
    </row>
    <row r="986" spans="1:2">
      <c r="A986" s="1" t="s">
        <v>1143</v>
      </c>
      <c r="B986"/>
    </row>
    <row r="987" spans="1:2">
      <c r="A987" s="1" t="s">
        <v>1212</v>
      </c>
      <c r="B987"/>
    </row>
    <row r="988" spans="1:2">
      <c r="A988" s="1" t="s">
        <v>1156</v>
      </c>
      <c r="B988"/>
    </row>
    <row r="989" spans="1:2">
      <c r="A989" s="1" t="s">
        <v>1183</v>
      </c>
      <c r="B989"/>
    </row>
    <row r="990" spans="1:2">
      <c r="A990" s="1" t="s">
        <v>1212</v>
      </c>
      <c r="B990"/>
    </row>
    <row r="991" spans="1:2">
      <c r="A991" s="1" t="s">
        <v>1145</v>
      </c>
      <c r="B991"/>
    </row>
    <row r="992" spans="1:2">
      <c r="A992" s="1" t="s">
        <v>1146</v>
      </c>
      <c r="B992"/>
    </row>
    <row r="993" spans="1:2">
      <c r="A993" s="1" t="s">
        <v>1197</v>
      </c>
      <c r="B993"/>
    </row>
    <row r="994" spans="1:2">
      <c r="A994" s="1" t="s">
        <v>1190</v>
      </c>
      <c r="B994"/>
    </row>
    <row r="995" spans="1:2">
      <c r="A995" s="1" t="s">
        <v>1212</v>
      </c>
      <c r="B995"/>
    </row>
    <row r="996" spans="1:2">
      <c r="A996" s="1" t="s">
        <v>1451</v>
      </c>
      <c r="B996"/>
    </row>
    <row r="997" spans="1:2">
      <c r="A997" s="1" t="s">
        <v>1187</v>
      </c>
      <c r="B997"/>
    </row>
    <row r="998" spans="1:2">
      <c r="A998" s="1" t="s">
        <v>1452</v>
      </c>
      <c r="B998"/>
    </row>
    <row r="999" spans="1:2">
      <c r="A999" s="1" t="s">
        <v>1453</v>
      </c>
      <c r="B999"/>
    </row>
    <row r="1000" spans="1:2">
      <c r="A1000" s="1" t="s">
        <v>1304</v>
      </c>
      <c r="B1000"/>
    </row>
    <row r="1001" spans="1:2">
      <c r="A1001" s="1" t="s">
        <v>1183</v>
      </c>
      <c r="B1001"/>
    </row>
    <row r="1002" spans="1:2">
      <c r="A1002" s="1" t="s">
        <v>1157</v>
      </c>
      <c r="B1002"/>
    </row>
    <row r="1003" spans="1:2">
      <c r="A1003" s="1" t="s">
        <v>1156</v>
      </c>
      <c r="B1003"/>
    </row>
    <row r="1004" spans="1:2">
      <c r="A1004" s="1" t="s">
        <v>1146</v>
      </c>
      <c r="B1004"/>
    </row>
    <row r="1005" spans="1:2">
      <c r="A1005" s="1" t="s">
        <v>1147</v>
      </c>
      <c r="B1005"/>
    </row>
    <row r="1006" spans="1:2">
      <c r="A1006" s="1" t="s">
        <v>1467</v>
      </c>
      <c r="B1006"/>
    </row>
    <row r="1007" spans="1:2">
      <c r="A1007" s="1" t="s">
        <v>1282</v>
      </c>
      <c r="B1007"/>
    </row>
    <row r="1008" spans="1:2">
      <c r="A1008" s="1" t="s">
        <v>1184</v>
      </c>
      <c r="B1008"/>
    </row>
    <row r="1009" spans="1:2">
      <c r="A1009" s="1" t="s">
        <v>1150</v>
      </c>
      <c r="B1009"/>
    </row>
    <row r="1010" spans="1:2">
      <c r="A1010" s="1" t="s">
        <v>1243</v>
      </c>
      <c r="B1010"/>
    </row>
    <row r="1011" spans="1:2">
      <c r="A1011" s="1" t="s">
        <v>1211</v>
      </c>
      <c r="B1011"/>
    </row>
    <row r="1012" spans="1:2">
      <c r="A1012" s="1" t="s">
        <v>1178</v>
      </c>
      <c r="B1012"/>
    </row>
    <row r="1013" spans="1:2">
      <c r="A1013" s="1" t="s">
        <v>1474</v>
      </c>
      <c r="B1013"/>
    </row>
    <row r="1014" spans="1:2">
      <c r="A1014" s="1" t="s">
        <v>1166</v>
      </c>
      <c r="B1014"/>
    </row>
    <row r="1015" spans="1:2">
      <c r="A1015" s="1" t="s">
        <v>1156</v>
      </c>
      <c r="B1015"/>
    </row>
    <row r="1016" spans="1:2">
      <c r="A1016" s="1" t="s">
        <v>1454</v>
      </c>
      <c r="B1016"/>
    </row>
    <row r="1017" spans="1:2">
      <c r="A1017" s="1" t="s">
        <v>1455</v>
      </c>
      <c r="B1017"/>
    </row>
    <row r="1018" spans="1:2">
      <c r="A1018" s="1" t="s">
        <v>1440</v>
      </c>
      <c r="B1018"/>
    </row>
    <row r="1019" spans="1:2">
      <c r="A1019" s="1" t="s">
        <v>1351</v>
      </c>
      <c r="B1019"/>
    </row>
    <row r="1020" spans="1:2">
      <c r="A1020" s="1" t="s">
        <v>1183</v>
      </c>
      <c r="B1020"/>
    </row>
    <row r="1021" spans="1:2">
      <c r="A1021" s="1" t="s">
        <v>1156</v>
      </c>
      <c r="B1021"/>
    </row>
    <row r="1022" spans="1:2">
      <c r="A1022" s="1" t="s">
        <v>1148</v>
      </c>
      <c r="B1022"/>
    </row>
    <row r="1023" spans="1:2">
      <c r="A1023" s="1" t="s">
        <v>1182</v>
      </c>
      <c r="B1023"/>
    </row>
    <row r="1024" spans="1:2">
      <c r="A1024" s="1" t="s">
        <v>1456</v>
      </c>
      <c r="B1024"/>
    </row>
    <row r="1025" spans="1:2">
      <c r="A1025" s="1" t="s">
        <v>1149</v>
      </c>
      <c r="B1025"/>
    </row>
    <row r="1026" spans="1:2">
      <c r="A1026" s="1" t="s">
        <v>1156</v>
      </c>
      <c r="B1026"/>
    </row>
    <row r="1027" spans="1:2">
      <c r="A1027" s="1" t="s">
        <v>1152</v>
      </c>
      <c r="B1027"/>
    </row>
    <row r="1028" spans="1:2">
      <c r="A1028" s="1" t="s">
        <v>1457</v>
      </c>
      <c r="B1028"/>
    </row>
    <row r="1029" spans="1:2">
      <c r="A1029" s="1" t="s">
        <v>1182</v>
      </c>
      <c r="B1029"/>
    </row>
    <row r="1030" spans="1:2">
      <c r="A1030" s="1" t="s">
        <v>1416</v>
      </c>
      <c r="B1030"/>
    </row>
    <row r="1031" spans="1:2">
      <c r="A1031" s="1" t="s">
        <v>1305</v>
      </c>
      <c r="B1031"/>
    </row>
    <row r="1032" spans="1:2">
      <c r="A1032" s="1" t="s">
        <v>1201</v>
      </c>
      <c r="B1032"/>
    </row>
    <row r="1033" spans="1:2">
      <c r="A1033" s="1" t="s">
        <v>1151</v>
      </c>
      <c r="B1033"/>
    </row>
    <row r="1034" spans="1:2">
      <c r="A1034" s="1" t="s">
        <v>1382</v>
      </c>
      <c r="B1034"/>
    </row>
    <row r="1035" spans="1:2">
      <c r="A1035" s="1" t="s">
        <v>1183</v>
      </c>
      <c r="B1035"/>
    </row>
    <row r="1036" spans="1:2">
      <c r="A1036" s="1" t="s">
        <v>1458</v>
      </c>
      <c r="B1036"/>
    </row>
    <row r="1037" spans="1:2">
      <c r="A1037" s="1" t="s">
        <v>1149</v>
      </c>
      <c r="B1037"/>
    </row>
    <row r="1038" spans="1:2">
      <c r="A1038" s="1" t="s">
        <v>1152</v>
      </c>
      <c r="B1038"/>
    </row>
    <row r="1039" spans="1:2">
      <c r="A1039" s="1" t="s">
        <v>1184</v>
      </c>
      <c r="B1039"/>
    </row>
    <row r="1040" spans="1:2">
      <c r="A1040" s="1" t="s">
        <v>1156</v>
      </c>
      <c r="B1040"/>
    </row>
    <row r="1041" spans="1:2">
      <c r="A1041" s="1" t="s">
        <v>1198</v>
      </c>
      <c r="B1041"/>
    </row>
    <row r="1042" spans="1:2">
      <c r="A1042" s="1" t="s">
        <v>1145</v>
      </c>
      <c r="B1042"/>
    </row>
    <row r="1043" spans="1:2">
      <c r="A1043" s="1" t="s">
        <v>1303</v>
      </c>
      <c r="B1043"/>
    </row>
    <row r="1044" spans="1:2">
      <c r="A1044" s="1" t="s">
        <v>1158</v>
      </c>
      <c r="B1044"/>
    </row>
    <row r="1045" spans="1:2">
      <c r="A1045" s="1" t="s">
        <v>1459</v>
      </c>
      <c r="B1045"/>
    </row>
    <row r="1046" spans="1:2">
      <c r="A1046" s="1" t="s">
        <v>1183</v>
      </c>
      <c r="B1046"/>
    </row>
    <row r="1047" spans="1:2">
      <c r="A1047" s="1" t="s">
        <v>1156</v>
      </c>
      <c r="B1047"/>
    </row>
    <row r="1048" spans="1:2">
      <c r="A1048" s="1" t="s">
        <v>1146</v>
      </c>
      <c r="B1048"/>
    </row>
    <row r="1049" spans="1:2">
      <c r="A1049" s="1" t="s">
        <v>1313</v>
      </c>
      <c r="B1049"/>
    </row>
    <row r="1050" spans="1:2">
      <c r="A1050" s="1" t="s">
        <v>1158</v>
      </c>
      <c r="B1050"/>
    </row>
    <row r="1051" spans="1:2">
      <c r="A1051" s="1" t="s">
        <v>1208</v>
      </c>
      <c r="B1051"/>
    </row>
    <row r="1052" spans="1:2">
      <c r="A1052" s="1" t="s">
        <v>1460</v>
      </c>
      <c r="B1052"/>
    </row>
    <row r="1053" spans="1:2">
      <c r="A1053" s="1" t="s">
        <v>1166</v>
      </c>
      <c r="B1053"/>
    </row>
    <row r="1054" spans="1:2">
      <c r="A1054" s="1" t="s">
        <v>1156</v>
      </c>
      <c r="B1054"/>
    </row>
    <row r="1055" spans="1:2">
      <c r="A1055" s="1" t="s">
        <v>1183</v>
      </c>
      <c r="B1055"/>
    </row>
    <row r="1056" spans="1:2">
      <c r="A1056" s="1" t="s">
        <v>1146</v>
      </c>
      <c r="B1056"/>
    </row>
    <row r="1057" spans="1:2">
      <c r="A1057" s="1" t="s">
        <v>1147</v>
      </c>
      <c r="B1057"/>
    </row>
    <row r="1058" spans="1:2">
      <c r="A1058" s="1" t="s">
        <v>1369</v>
      </c>
      <c r="B1058"/>
    </row>
    <row r="1059" spans="1:2">
      <c r="A1059" s="1" t="s">
        <v>1166</v>
      </c>
      <c r="B1059"/>
    </row>
    <row r="1060" spans="1:2">
      <c r="A1060" s="1" t="s">
        <v>1330</v>
      </c>
      <c r="B1060"/>
    </row>
    <row r="1061" spans="1:2">
      <c r="A1061" s="1" t="s">
        <v>1144</v>
      </c>
      <c r="B1061"/>
    </row>
    <row r="1062" spans="1:2">
      <c r="A1062" s="1" t="s">
        <v>1460</v>
      </c>
      <c r="B1062"/>
    </row>
    <row r="1063" spans="1:2">
      <c r="A1063" s="1" t="s">
        <v>1183</v>
      </c>
      <c r="B1063"/>
    </row>
    <row r="1064" spans="1:2">
      <c r="A1064" s="1" t="s">
        <v>1475</v>
      </c>
      <c r="B1064"/>
    </row>
    <row r="1065" spans="1:2">
      <c r="A1065" s="1" t="s">
        <v>1446</v>
      </c>
      <c r="B1065"/>
    </row>
    <row r="1066" spans="1:2">
      <c r="A1066" s="1" t="s">
        <v>1213</v>
      </c>
      <c r="B1066"/>
    </row>
    <row r="1067" spans="1:2">
      <c r="A1067" s="1" t="s">
        <v>1158</v>
      </c>
      <c r="B1067"/>
    </row>
    <row r="1068" spans="1:2">
      <c r="A1068" s="1" t="s">
        <v>1461</v>
      </c>
      <c r="B1068"/>
    </row>
    <row r="1069" spans="1:2">
      <c r="A1069" s="1" t="s">
        <v>1231</v>
      </c>
      <c r="B1069"/>
    </row>
    <row r="1070" spans="1:2">
      <c r="A1070" s="1" t="s">
        <v>1462</v>
      </c>
      <c r="B1070"/>
    </row>
    <row r="1071" spans="1:2">
      <c r="A1071" s="1" t="s">
        <v>1237</v>
      </c>
      <c r="B1071"/>
    </row>
    <row r="1072" spans="1:2">
      <c r="A1072" s="1" t="s">
        <v>1183</v>
      </c>
      <c r="B1072"/>
    </row>
    <row r="1073" spans="1:2">
      <c r="A1073" s="1" t="s">
        <v>1459</v>
      </c>
      <c r="B1073"/>
    </row>
    <row r="1074" spans="1:2">
      <c r="A1074" s="1" t="s">
        <v>1161</v>
      </c>
      <c r="B1074"/>
    </row>
    <row r="1075" spans="1:2">
      <c r="A1075" s="1" t="s">
        <v>1183</v>
      </c>
      <c r="B1075"/>
    </row>
    <row r="1076" spans="1:2">
      <c r="A1076" s="1" t="s">
        <v>1156</v>
      </c>
      <c r="B1076"/>
    </row>
    <row r="1077" spans="1:2">
      <c r="A1077" s="1" t="s">
        <v>1157</v>
      </c>
      <c r="B1077"/>
    </row>
    <row r="1078" spans="1:2">
      <c r="A1078" s="1" t="s">
        <v>1151</v>
      </c>
      <c r="B1078"/>
    </row>
    <row r="1079" spans="1:2">
      <c r="A1079" s="1" t="s">
        <v>1159</v>
      </c>
      <c r="B1079"/>
    </row>
    <row r="1080" spans="1:2">
      <c r="A1080" s="1" t="s">
        <v>1463</v>
      </c>
      <c r="B1080"/>
    </row>
    <row r="1081" spans="1:2">
      <c r="A1081" s="1" t="s">
        <v>1275</v>
      </c>
      <c r="B1081"/>
    </row>
    <row r="1082" spans="1:2">
      <c r="A1082" s="1" t="s">
        <v>1464</v>
      </c>
      <c r="B1082"/>
    </row>
    <row r="1083" spans="1:2">
      <c r="A1083" s="1" t="s">
        <v>1158</v>
      </c>
      <c r="B1083"/>
    </row>
    <row r="1084" spans="1:2">
      <c r="A1084" s="1" t="s">
        <v>1212</v>
      </c>
      <c r="B1084"/>
    </row>
    <row r="1085" spans="1:2">
      <c r="A1085" s="1" t="s">
        <v>1412</v>
      </c>
      <c r="B1085"/>
    </row>
    <row r="1086" spans="1:2">
      <c r="A1086" s="1" t="s">
        <v>1183</v>
      </c>
      <c r="B1086"/>
    </row>
    <row r="1087" spans="1:2">
      <c r="A1087" s="1" t="s">
        <v>1459</v>
      </c>
      <c r="B1087"/>
    </row>
    <row r="1088" spans="1:2">
      <c r="A1088" s="1" t="s">
        <v>1156</v>
      </c>
      <c r="B1088"/>
    </row>
    <row r="1089" spans="1:2">
      <c r="A1089" s="1" t="s">
        <v>1146</v>
      </c>
      <c r="B1089"/>
    </row>
    <row r="1090" spans="1:2">
      <c r="A1090" s="1" t="s">
        <v>1147</v>
      </c>
      <c r="B1090"/>
    </row>
    <row r="1091" spans="1:2">
      <c r="A1091" s="1" t="s">
        <v>1465</v>
      </c>
      <c r="B1091"/>
    </row>
    <row r="1092" spans="1:2">
      <c r="A1092" s="1" t="s">
        <v>1348</v>
      </c>
      <c r="B1092"/>
    </row>
    <row r="1093" spans="1:2">
      <c r="A1093" s="1" t="s">
        <v>1158</v>
      </c>
      <c r="B1093"/>
    </row>
    <row r="1094" spans="1:2">
      <c r="A1094" s="1" t="s">
        <v>1183</v>
      </c>
      <c r="B1094"/>
    </row>
    <row r="1095" spans="1:2">
      <c r="A1095" s="1" t="s">
        <v>1166</v>
      </c>
      <c r="B1095"/>
    </row>
    <row r="1096" spans="1:2">
      <c r="A1096" s="1" t="s">
        <v>1167</v>
      </c>
      <c r="B1096"/>
    </row>
    <row r="1097" spans="1:2">
      <c r="A1097" s="1" t="s">
        <v>1464</v>
      </c>
      <c r="B1097"/>
    </row>
    <row r="1098" spans="1:2">
      <c r="A1098" s="1" t="s">
        <v>1189</v>
      </c>
      <c r="B1098"/>
    </row>
    <row r="1099" spans="1:2">
      <c r="A1099" s="1" t="s">
        <v>1191</v>
      </c>
      <c r="B1099"/>
    </row>
    <row r="1100" spans="1:2">
      <c r="A1100" s="1" t="s">
        <v>1466</v>
      </c>
      <c r="B1100"/>
    </row>
    <row r="1101" spans="1:2">
      <c r="A1101" s="1" t="s">
        <v>1183</v>
      </c>
      <c r="B1101"/>
    </row>
    <row r="1102" spans="1:2">
      <c r="A1102" s="1" t="s">
        <v>1155</v>
      </c>
      <c r="B1102"/>
    </row>
    <row r="1103" spans="1:2">
      <c r="A1103" s="1" t="s">
        <v>1213</v>
      </c>
      <c r="B1103"/>
    </row>
    <row r="1104" spans="1:2">
      <c r="A1104" s="1" t="s">
        <v>1212</v>
      </c>
      <c r="B1104"/>
    </row>
    <row r="1105" spans="1:2">
      <c r="A1105" s="1" t="s">
        <v>1203</v>
      </c>
      <c r="B1105"/>
    </row>
    <row r="1106" spans="1:2">
      <c r="A1106" s="1" t="s">
        <v>1353</v>
      </c>
      <c r="B1106"/>
    </row>
    <row r="1107" spans="1:2">
      <c r="A1107" s="1" t="s">
        <v>1166</v>
      </c>
      <c r="B1107"/>
    </row>
    <row r="1108" spans="1:2">
      <c r="A1108" s="1" t="s">
        <v>1333</v>
      </c>
      <c r="B1108"/>
    </row>
    <row r="1109" spans="1:2">
      <c r="A1109" s="1" t="s">
        <v>1181</v>
      </c>
      <c r="B1109"/>
    </row>
    <row r="1110" spans="1:2">
      <c r="A1110" s="1" t="s">
        <v>1481</v>
      </c>
      <c r="B1110"/>
    </row>
    <row r="1111" spans="1:2">
      <c r="A1111" s="1" t="s">
        <v>1213</v>
      </c>
      <c r="B1111"/>
    </row>
    <row r="1112" spans="1:2">
      <c r="A1112" s="1" t="s">
        <v>1223</v>
      </c>
      <c r="B1112"/>
    </row>
    <row r="1113" spans="1:2">
      <c r="A1113" s="1" t="s">
        <v>1189</v>
      </c>
      <c r="B1113"/>
    </row>
    <row r="1114" spans="1:2">
      <c r="A1114" s="1" t="s">
        <v>1482</v>
      </c>
      <c r="B1114"/>
    </row>
    <row r="1115" spans="1:2">
      <c r="A1115" s="1" t="s">
        <v>1467</v>
      </c>
      <c r="B1115"/>
    </row>
    <row r="1116" spans="1:2">
      <c r="A1116" s="1" t="s">
        <v>1187</v>
      </c>
      <c r="B1116"/>
    </row>
    <row r="1117" spans="1:2">
      <c r="A1117" s="1" t="s">
        <v>1468</v>
      </c>
      <c r="B1117"/>
    </row>
    <row r="1118" spans="1:2">
      <c r="A1118" s="1" t="s">
        <v>1156</v>
      </c>
      <c r="B1118"/>
    </row>
    <row r="1119" spans="1:2">
      <c r="A1119" s="1" t="s">
        <v>1183</v>
      </c>
      <c r="B1119"/>
    </row>
    <row r="1120" spans="1:2">
      <c r="A1120" s="1" t="s">
        <v>1184</v>
      </c>
      <c r="B1120"/>
    </row>
    <row r="1121" spans="1:2">
      <c r="A1121" s="1" t="s">
        <v>1466</v>
      </c>
      <c r="B1121"/>
    </row>
    <row r="1122" spans="1:2">
      <c r="A1122" s="1" t="s">
        <v>1166</v>
      </c>
      <c r="B1122"/>
    </row>
    <row r="1123" spans="1:2">
      <c r="A1123" s="1" t="s">
        <v>1280</v>
      </c>
      <c r="B1123"/>
    </row>
    <row r="1124" spans="1:2">
      <c r="A1124" s="1" t="s">
        <v>1469</v>
      </c>
      <c r="B1124"/>
    </row>
    <row r="1125" spans="1:2">
      <c r="A1125" s="1" t="s">
        <v>1465</v>
      </c>
      <c r="B1125"/>
    </row>
    <row r="1126" spans="1:2">
      <c r="A1126" s="1" t="s">
        <v>1282</v>
      </c>
      <c r="B1126"/>
    </row>
    <row r="1127" spans="1:2">
      <c r="A1127" s="1" t="s">
        <v>1470</v>
      </c>
      <c r="B1127"/>
    </row>
    <row r="1128" spans="1:2">
      <c r="A1128" s="1" t="s">
        <v>1313</v>
      </c>
      <c r="B1128"/>
    </row>
    <row r="1129" spans="1:2">
      <c r="A1129" s="1" t="s">
        <v>1151</v>
      </c>
      <c r="B1129"/>
    </row>
    <row r="1130" spans="1:2">
      <c r="A1130" s="1" t="s">
        <v>1157</v>
      </c>
      <c r="B1130"/>
    </row>
    <row r="1131" spans="1:2">
      <c r="A1131" s="1" t="s">
        <v>1213</v>
      </c>
      <c r="B1131"/>
    </row>
    <row r="1132" spans="1:2">
      <c r="A1132" s="1" t="s">
        <v>1198</v>
      </c>
      <c r="B1132"/>
    </row>
    <row r="1133" spans="1:2">
      <c r="A1133" s="1" t="s">
        <v>1197</v>
      </c>
      <c r="B1133"/>
    </row>
    <row r="1134" spans="1:2">
      <c r="A1134" s="1" t="s">
        <v>1269</v>
      </c>
      <c r="B1134"/>
    </row>
    <row r="1135" spans="1:2">
      <c r="A1135" s="1" t="s">
        <v>1143</v>
      </c>
      <c r="B1135"/>
    </row>
    <row r="1136" spans="1:2">
      <c r="A1136" s="1" t="s">
        <v>1184</v>
      </c>
      <c r="B1136"/>
    </row>
    <row r="1137" spans="1:2">
      <c r="A1137" s="1" t="s">
        <v>1223</v>
      </c>
      <c r="B1137"/>
    </row>
  </sheetData>
  <sortState xmlns:xlrd2="http://schemas.microsoft.com/office/spreadsheetml/2017/richdata2" ref="B2:C1137">
    <sortCondition descending="1" ref="C2:C1137"/>
  </sortState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1E882-97C8-4EA3-8FBE-E14DBBD33BC4}">
  <sheetPr codeName="Sheet5"/>
  <dimension ref="A1:I9"/>
  <sheetViews>
    <sheetView workbookViewId="0">
      <selection activeCell="C2" sqref="C2"/>
    </sheetView>
  </sheetViews>
  <sheetFormatPr defaultRowHeight="17.399999999999999"/>
  <sheetData>
    <row r="1" spans="1:9">
      <c r="B1" s="1" t="s">
        <v>1156</v>
      </c>
      <c r="C1" s="1" t="s">
        <v>350</v>
      </c>
      <c r="D1" s="1" t="s">
        <v>739</v>
      </c>
      <c r="E1" s="1" t="s">
        <v>729</v>
      </c>
      <c r="F1" s="1" t="s">
        <v>909</v>
      </c>
      <c r="G1" s="1" t="s">
        <v>101</v>
      </c>
      <c r="H1" s="1" t="s">
        <v>742</v>
      </c>
      <c r="I1" s="1" t="s">
        <v>734</v>
      </c>
    </row>
    <row r="2" spans="1:9">
      <c r="A2" s="1" t="s">
        <v>1156</v>
      </c>
    </row>
    <row r="3" spans="1:9">
      <c r="A3" s="1" t="s">
        <v>350</v>
      </c>
    </row>
    <row r="4" spans="1:9">
      <c r="A4" s="1" t="s">
        <v>739</v>
      </c>
    </row>
    <row r="5" spans="1:9">
      <c r="A5" s="1" t="s">
        <v>729</v>
      </c>
    </row>
    <row r="6" spans="1:9">
      <c r="A6" s="1" t="s">
        <v>909</v>
      </c>
    </row>
    <row r="7" spans="1:9">
      <c r="A7" s="1" t="s">
        <v>101</v>
      </c>
    </row>
    <row r="8" spans="1:9">
      <c r="A8" s="1" t="s">
        <v>742</v>
      </c>
    </row>
    <row r="9" spans="1:9">
      <c r="A9" s="1" t="s">
        <v>734</v>
      </c>
    </row>
  </sheetData>
  <phoneticPr fontId="1" type="noConversion"/>
  <conditionalFormatting sqref="A2:A9">
    <cfRule type="cellIs" dxfId="1" priority="2" operator="equal">
      <formula>0</formula>
    </cfRule>
  </conditionalFormatting>
  <conditionalFormatting sqref="B1:I1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86940-33B2-C74F-BA57-1E299A58F707}">
  <sheetPr codeName="Sheet6"/>
  <dimension ref="A1:FD18"/>
  <sheetViews>
    <sheetView zoomScale="120" zoomScaleNormal="120" workbookViewId="0">
      <selection activeCell="A3" sqref="A3:XFD14"/>
    </sheetView>
  </sheetViews>
  <sheetFormatPr defaultColWidth="8.4140625" defaultRowHeight="17.399999999999999"/>
  <cols>
    <col min="1" max="2" width="6.83203125" style="1" bestFit="1" customWidth="1"/>
    <col min="3" max="3" width="10.25" style="1" bestFit="1" customWidth="1"/>
    <col min="4" max="5" width="8.58203125" style="1" bestFit="1" customWidth="1"/>
    <col min="6" max="8" width="6.83203125" style="1" bestFit="1" customWidth="1"/>
    <col min="9" max="9" width="17.58203125" style="1" bestFit="1" customWidth="1"/>
    <col min="10" max="10" width="10.25" style="1" bestFit="1" customWidth="1"/>
    <col min="11" max="12" width="6.83203125" style="1" bestFit="1" customWidth="1"/>
    <col min="13" max="13" width="8.58203125" style="1" bestFit="1" customWidth="1"/>
    <col min="14" max="14" width="10.25" style="1" bestFit="1" customWidth="1"/>
    <col min="15" max="15" width="8.58203125" style="1" bestFit="1" customWidth="1"/>
    <col min="16" max="16" width="6.83203125" style="1" bestFit="1" customWidth="1"/>
    <col min="17" max="17" width="8.58203125" style="1" bestFit="1" customWidth="1"/>
    <col min="18" max="20" width="6.83203125" style="1" bestFit="1" customWidth="1"/>
    <col min="21" max="21" width="8.58203125" style="1" bestFit="1" customWidth="1"/>
    <col min="22" max="22" width="10.25" style="1" bestFit="1" customWidth="1"/>
    <col min="23" max="23" width="6.83203125" style="1" bestFit="1" customWidth="1"/>
    <col min="24" max="24" width="8.4140625" style="1"/>
    <col min="25" max="25" width="8.58203125" style="1" bestFit="1" customWidth="1"/>
    <col min="26" max="26" width="10.25" style="1" bestFit="1" customWidth="1"/>
    <col min="27" max="27" width="6.83203125" style="1" bestFit="1" customWidth="1"/>
    <col min="28" max="28" width="10.25" style="1" bestFit="1" customWidth="1"/>
    <col min="29" max="29" width="6.83203125" style="1" bestFit="1" customWidth="1"/>
    <col min="30" max="31" width="10.25" style="1" bestFit="1" customWidth="1"/>
    <col min="32" max="32" width="8.58203125" style="1" bestFit="1" customWidth="1"/>
    <col min="33" max="34" width="10.25" style="1" bestFit="1" customWidth="1"/>
    <col min="35" max="35" width="8.4140625" style="1"/>
    <col min="36" max="36" width="10.25" style="1" bestFit="1" customWidth="1"/>
    <col min="37" max="39" width="6.83203125" style="1" bestFit="1" customWidth="1"/>
    <col min="40" max="40" width="8.4140625" style="1"/>
    <col min="41" max="42" width="6.83203125" style="1" bestFit="1" customWidth="1"/>
    <col min="43" max="43" width="8.58203125" style="1" bestFit="1" customWidth="1"/>
    <col min="44" max="45" width="10.25" style="1" bestFit="1" customWidth="1"/>
    <col min="46" max="47" width="6.83203125" style="1" bestFit="1" customWidth="1"/>
    <col min="48" max="48" width="10.25" style="1" bestFit="1" customWidth="1"/>
    <col min="49" max="49" width="6.83203125" style="1" bestFit="1" customWidth="1"/>
    <col min="50" max="52" width="8.58203125" style="1" bestFit="1" customWidth="1"/>
    <col min="53" max="53" width="6.83203125" style="1" bestFit="1" customWidth="1"/>
    <col min="54" max="54" width="10.25" style="1" bestFit="1" customWidth="1"/>
    <col min="55" max="55" width="6.83203125" style="1" bestFit="1" customWidth="1"/>
    <col min="56" max="57" width="13.83203125" style="1" bestFit="1" customWidth="1"/>
    <col min="58" max="58" width="8.58203125" style="1" bestFit="1" customWidth="1"/>
    <col min="59" max="59" width="10.25" style="1" bestFit="1" customWidth="1"/>
    <col min="60" max="60" width="8.58203125" style="1" bestFit="1" customWidth="1"/>
    <col min="61" max="62" width="10.25" style="1" bestFit="1" customWidth="1"/>
    <col min="63" max="63" width="6.83203125" style="1" bestFit="1" customWidth="1"/>
    <col min="64" max="64" width="8.58203125" style="1" bestFit="1" customWidth="1"/>
    <col min="65" max="65" width="6.83203125" style="1" bestFit="1" customWidth="1"/>
    <col min="66" max="66" width="10.25" style="1" bestFit="1" customWidth="1"/>
    <col min="67" max="68" width="6.83203125" style="1" bestFit="1" customWidth="1"/>
    <col min="69" max="69" width="8.58203125" style="1" bestFit="1" customWidth="1"/>
    <col min="70" max="70" width="10.25" style="1" bestFit="1" customWidth="1"/>
    <col min="71" max="71" width="6.83203125" style="1" bestFit="1" customWidth="1"/>
    <col min="72" max="72" width="8.58203125" style="1" bestFit="1" customWidth="1"/>
    <col min="73" max="73" width="10.25" style="1" bestFit="1" customWidth="1"/>
    <col min="74" max="76" width="6.83203125" style="1" bestFit="1" customWidth="1"/>
    <col min="77" max="77" width="8.58203125" style="1" bestFit="1" customWidth="1"/>
    <col min="78" max="79" width="6.83203125" style="1" bestFit="1" customWidth="1"/>
    <col min="80" max="80" width="10.25" style="1" bestFit="1" customWidth="1"/>
    <col min="81" max="81" width="6.83203125" style="1" bestFit="1" customWidth="1"/>
    <col min="82" max="82" width="8.58203125" style="1" bestFit="1" customWidth="1"/>
    <col min="83" max="83" width="6.83203125" style="1" bestFit="1" customWidth="1"/>
    <col min="84" max="84" width="8.58203125" style="1" bestFit="1" customWidth="1"/>
    <col min="85" max="85" width="6.83203125" style="1" bestFit="1" customWidth="1"/>
    <col min="86" max="87" width="10.25" style="1" bestFit="1" customWidth="1"/>
    <col min="88" max="89" width="8.58203125" style="1" bestFit="1" customWidth="1"/>
    <col min="90" max="90" width="6.83203125" style="1" bestFit="1" customWidth="1"/>
    <col min="91" max="93" width="10.25" style="1" bestFit="1" customWidth="1"/>
    <col min="94" max="94" width="6.83203125" style="1" bestFit="1" customWidth="1"/>
    <col min="95" max="95" width="10.25" style="1" bestFit="1" customWidth="1"/>
    <col min="96" max="96" width="13.83203125" style="1" bestFit="1" customWidth="1"/>
    <col min="97" max="97" width="10.25" style="1" bestFit="1" customWidth="1"/>
    <col min="98" max="98" width="6.83203125" style="1" bestFit="1" customWidth="1"/>
    <col min="99" max="103" width="10.25" style="1" bestFit="1" customWidth="1"/>
    <col min="104" max="104" width="6.83203125" style="1" bestFit="1" customWidth="1"/>
    <col min="105" max="105" width="8.4140625" style="1"/>
    <col min="106" max="106" width="6.83203125" style="1" bestFit="1" customWidth="1"/>
    <col min="107" max="107" width="10.25" style="1" bestFit="1" customWidth="1"/>
    <col min="108" max="108" width="6.83203125" style="1" bestFit="1" customWidth="1"/>
    <col min="109" max="110" width="8.58203125" style="1" bestFit="1" customWidth="1"/>
    <col min="111" max="111" width="6.83203125" style="1" bestFit="1" customWidth="1"/>
    <col min="112" max="112" width="8.58203125" style="1" bestFit="1" customWidth="1"/>
    <col min="113" max="113" width="10.25" style="1" bestFit="1" customWidth="1"/>
    <col min="114" max="115" width="8.58203125" style="1" bestFit="1" customWidth="1"/>
    <col min="116" max="117" width="6.83203125" style="1" bestFit="1" customWidth="1"/>
    <col min="118" max="120" width="10.25" style="1" bestFit="1" customWidth="1"/>
    <col min="121" max="121" width="8.58203125" style="1" bestFit="1" customWidth="1"/>
    <col min="122" max="123" width="6.83203125" style="1" bestFit="1" customWidth="1"/>
    <col min="124" max="124" width="10.25" style="1" bestFit="1" customWidth="1"/>
    <col min="125" max="125" width="6.83203125" style="1" bestFit="1" customWidth="1"/>
    <col min="126" max="127" width="8.58203125" style="1" bestFit="1" customWidth="1"/>
    <col min="128" max="128" width="10.25" style="1" bestFit="1" customWidth="1"/>
    <col min="129" max="129" width="5.1640625" style="1" bestFit="1" customWidth="1"/>
    <col min="130" max="130" width="10.25" style="1" bestFit="1" customWidth="1"/>
    <col min="131" max="131" width="8.58203125" style="1" bestFit="1" customWidth="1"/>
    <col min="132" max="133" width="6.83203125" style="1" bestFit="1" customWidth="1"/>
    <col min="134" max="134" width="10.25" style="1" bestFit="1" customWidth="1"/>
    <col min="135" max="135" width="6.83203125" style="1" bestFit="1" customWidth="1"/>
    <col min="136" max="136" width="10.25" style="1" bestFit="1" customWidth="1"/>
    <col min="137" max="139" width="6.83203125" style="1" bestFit="1" customWidth="1"/>
    <col min="140" max="141" width="10.25" style="1" bestFit="1" customWidth="1"/>
    <col min="142" max="143" width="6.83203125" style="1" bestFit="1" customWidth="1"/>
    <col min="144" max="144" width="8.4140625" style="1"/>
    <col min="145" max="147" width="10.25" style="1" bestFit="1" customWidth="1"/>
    <col min="148" max="149" width="6.83203125" style="1" bestFit="1" customWidth="1"/>
    <col min="150" max="150" width="10.25" style="1" bestFit="1" customWidth="1"/>
    <col min="151" max="151" width="8.58203125" style="1" bestFit="1" customWidth="1"/>
    <col min="152" max="152" width="10.25" style="1" bestFit="1" customWidth="1"/>
    <col min="153" max="153" width="13.83203125" style="1" bestFit="1" customWidth="1"/>
    <col min="154" max="154" width="10.25" style="1" bestFit="1" customWidth="1"/>
    <col min="155" max="155" width="13.83203125" style="1" bestFit="1" customWidth="1"/>
    <col min="156" max="156" width="6.83203125" style="1" bestFit="1" customWidth="1"/>
    <col min="157" max="158" width="10.25" style="1" bestFit="1" customWidth="1"/>
    <col min="159" max="159" width="8.58203125" style="1" bestFit="1" customWidth="1"/>
    <col min="160" max="160" width="6.83203125" style="1" bestFit="1" customWidth="1"/>
    <col min="161" max="16384" width="8.4140625" style="1"/>
  </cols>
  <sheetData>
    <row r="1" spans="1:160">
      <c r="A1" s="1" t="s">
        <v>969</v>
      </c>
      <c r="B1" s="1" t="s">
        <v>969</v>
      </c>
      <c r="C1" s="1" t="s">
        <v>969</v>
      </c>
      <c r="D1" s="1" t="s">
        <v>969</v>
      </c>
      <c r="E1" s="1" t="s">
        <v>969</v>
      </c>
      <c r="F1" s="1" t="s">
        <v>969</v>
      </c>
      <c r="G1" s="1" t="s">
        <v>969</v>
      </c>
      <c r="H1" s="1" t="s">
        <v>969</v>
      </c>
      <c r="I1" s="1" t="s">
        <v>969</v>
      </c>
      <c r="J1" s="1" t="s">
        <v>969</v>
      </c>
      <c r="K1" s="1" t="s">
        <v>969</v>
      </c>
      <c r="L1" s="1" t="s">
        <v>969</v>
      </c>
      <c r="M1" s="1" t="s">
        <v>970</v>
      </c>
      <c r="N1" s="1" t="s">
        <v>970</v>
      </c>
      <c r="O1" s="1" t="s">
        <v>970</v>
      </c>
      <c r="P1" s="1" t="s">
        <v>970</v>
      </c>
      <c r="Q1" s="1" t="s">
        <v>970</v>
      </c>
      <c r="R1" s="1" t="s">
        <v>970</v>
      </c>
      <c r="S1" s="1" t="s">
        <v>970</v>
      </c>
      <c r="T1" s="1" t="s">
        <v>970</v>
      </c>
      <c r="U1" s="1" t="s">
        <v>971</v>
      </c>
      <c r="V1" s="1" t="s">
        <v>971</v>
      </c>
      <c r="W1" s="1" t="s">
        <v>971</v>
      </c>
      <c r="X1" s="1" t="s">
        <v>971</v>
      </c>
      <c r="Y1" s="1" t="s">
        <v>971</v>
      </c>
      <c r="Z1" s="1" t="s">
        <v>971</v>
      </c>
      <c r="AA1" s="1" t="s">
        <v>972</v>
      </c>
      <c r="AB1" s="1" t="s">
        <v>972</v>
      </c>
      <c r="AC1" s="1" t="s">
        <v>972</v>
      </c>
      <c r="AD1" s="1" t="s">
        <v>972</v>
      </c>
      <c r="AE1" s="1" t="s">
        <v>972</v>
      </c>
      <c r="AF1" s="1" t="s">
        <v>972</v>
      </c>
      <c r="AG1" s="1" t="s">
        <v>972</v>
      </c>
      <c r="AH1" s="1" t="s">
        <v>972</v>
      </c>
      <c r="AI1" s="1" t="s">
        <v>972</v>
      </c>
      <c r="AJ1" s="1" t="s">
        <v>972</v>
      </c>
      <c r="AK1" s="1" t="s">
        <v>972</v>
      </c>
      <c r="AL1" s="1" t="s">
        <v>972</v>
      </c>
      <c r="AM1" s="1" t="s">
        <v>972</v>
      </c>
      <c r="AN1" s="1" t="s">
        <v>972</v>
      </c>
      <c r="AO1" s="1" t="s">
        <v>972</v>
      </c>
      <c r="AP1" s="1" t="s">
        <v>972</v>
      </c>
      <c r="AQ1" s="1" t="s">
        <v>972</v>
      </c>
      <c r="AR1" s="1" t="s">
        <v>972</v>
      </c>
      <c r="AS1" s="1" t="s">
        <v>972</v>
      </c>
      <c r="AT1" s="1" t="s">
        <v>973</v>
      </c>
      <c r="AU1" s="1" t="s">
        <v>973</v>
      </c>
      <c r="AV1" s="1" t="s">
        <v>973</v>
      </c>
      <c r="AW1" s="1" t="s">
        <v>974</v>
      </c>
      <c r="AX1" s="1" t="s">
        <v>974</v>
      </c>
      <c r="AY1" s="1" t="s">
        <v>974</v>
      </c>
      <c r="AZ1" s="1" t="s">
        <v>974</v>
      </c>
      <c r="BA1" s="1" t="s">
        <v>974</v>
      </c>
      <c r="BB1" s="1" t="s">
        <v>974</v>
      </c>
      <c r="BC1" s="1" t="s">
        <v>974</v>
      </c>
      <c r="BD1" s="1" t="s">
        <v>974</v>
      </c>
      <c r="BE1" s="1" t="s">
        <v>975</v>
      </c>
      <c r="BF1" s="1" t="s">
        <v>975</v>
      </c>
      <c r="BG1" s="1" t="s">
        <v>975</v>
      </c>
      <c r="BH1" s="1" t="s">
        <v>976</v>
      </c>
      <c r="BI1" s="1" t="s">
        <v>976</v>
      </c>
      <c r="BJ1" s="1" t="s">
        <v>976</v>
      </c>
      <c r="BK1" s="1" t="s">
        <v>976</v>
      </c>
      <c r="BL1" s="1" t="s">
        <v>976</v>
      </c>
      <c r="BM1" s="1" t="s">
        <v>976</v>
      </c>
      <c r="BN1" s="1" t="s">
        <v>976</v>
      </c>
      <c r="BO1" s="1" t="s">
        <v>976</v>
      </c>
      <c r="BP1" s="1" t="s">
        <v>976</v>
      </c>
      <c r="BQ1" s="1" t="s">
        <v>976</v>
      </c>
      <c r="BR1" s="1" t="s">
        <v>976</v>
      </c>
      <c r="BS1" s="1" t="s">
        <v>976</v>
      </c>
      <c r="BT1" s="1" t="s">
        <v>976</v>
      </c>
      <c r="BU1" s="1" t="s">
        <v>976</v>
      </c>
      <c r="BV1" s="1" t="s">
        <v>976</v>
      </c>
      <c r="BW1" s="1" t="s">
        <v>976</v>
      </c>
      <c r="BX1" s="1" t="s">
        <v>976</v>
      </c>
      <c r="BY1" s="1" t="s">
        <v>976</v>
      </c>
      <c r="BZ1" s="1" t="s">
        <v>977</v>
      </c>
      <c r="CA1" s="1" t="s">
        <v>977</v>
      </c>
      <c r="CB1" s="1" t="s">
        <v>977</v>
      </c>
      <c r="CC1" s="1" t="s">
        <v>977</v>
      </c>
      <c r="CD1" s="1" t="s">
        <v>977</v>
      </c>
      <c r="CE1" s="1" t="s">
        <v>977</v>
      </c>
      <c r="CF1" s="1" t="s">
        <v>977</v>
      </c>
      <c r="CG1" s="1" t="s">
        <v>977</v>
      </c>
      <c r="CH1" s="1" t="s">
        <v>978</v>
      </c>
      <c r="CI1" s="1" t="s">
        <v>978</v>
      </c>
      <c r="CJ1" s="1" t="s">
        <v>978</v>
      </c>
      <c r="CK1" s="1" t="s">
        <v>979</v>
      </c>
      <c r="CL1" s="1" t="s">
        <v>980</v>
      </c>
      <c r="CM1" s="1" t="s">
        <v>980</v>
      </c>
      <c r="CN1" s="1" t="s">
        <v>980</v>
      </c>
      <c r="CO1" s="1" t="s">
        <v>980</v>
      </c>
      <c r="CP1" s="1" t="s">
        <v>980</v>
      </c>
      <c r="CQ1" s="1" t="s">
        <v>980</v>
      </c>
      <c r="CR1" s="1" t="s">
        <v>980</v>
      </c>
      <c r="CS1" s="1" t="s">
        <v>980</v>
      </c>
      <c r="CT1" s="1" t="s">
        <v>980</v>
      </c>
      <c r="CU1" s="1" t="s">
        <v>980</v>
      </c>
      <c r="CV1" s="1" t="s">
        <v>981</v>
      </c>
      <c r="CW1" s="1" t="s">
        <v>981</v>
      </c>
      <c r="CX1" s="1" t="s">
        <v>981</v>
      </c>
      <c r="CY1" s="1" t="s">
        <v>981</v>
      </c>
      <c r="CZ1" s="1" t="s">
        <v>981</v>
      </c>
      <c r="DA1" s="1" t="s">
        <v>981</v>
      </c>
      <c r="DB1" s="1" t="s">
        <v>981</v>
      </c>
      <c r="DC1" s="1" t="s">
        <v>981</v>
      </c>
      <c r="DD1" s="1" t="s">
        <v>981</v>
      </c>
      <c r="DE1" s="1" t="s">
        <v>981</v>
      </c>
      <c r="DF1" s="1" t="s">
        <v>981</v>
      </c>
      <c r="DG1" s="1" t="s">
        <v>981</v>
      </c>
      <c r="DH1" s="1" t="s">
        <v>981</v>
      </c>
      <c r="DI1" s="1" t="s">
        <v>983</v>
      </c>
      <c r="DJ1" s="1" t="s">
        <v>983</v>
      </c>
      <c r="DK1" s="1" t="s">
        <v>983</v>
      </c>
      <c r="DL1" s="1" t="s">
        <v>983</v>
      </c>
      <c r="DM1" s="1" t="s">
        <v>983</v>
      </c>
      <c r="DN1" s="1" t="s">
        <v>983</v>
      </c>
      <c r="DO1" s="1" t="s">
        <v>983</v>
      </c>
      <c r="DP1" s="1" t="s">
        <v>983</v>
      </c>
      <c r="DQ1" s="1" t="s">
        <v>983</v>
      </c>
      <c r="DR1" s="1" t="s">
        <v>984</v>
      </c>
      <c r="DS1" s="1" t="s">
        <v>984</v>
      </c>
      <c r="DT1" s="1" t="s">
        <v>984</v>
      </c>
      <c r="DU1" s="1" t="s">
        <v>984</v>
      </c>
      <c r="DV1" s="1" t="s">
        <v>984</v>
      </c>
      <c r="DW1" s="1" t="s">
        <v>984</v>
      </c>
      <c r="DX1" s="1" t="s">
        <v>984</v>
      </c>
      <c r="DY1" s="1" t="s">
        <v>985</v>
      </c>
      <c r="DZ1" s="1" t="s">
        <v>985</v>
      </c>
      <c r="EA1" s="1" t="s">
        <v>985</v>
      </c>
      <c r="EB1" s="1" t="s">
        <v>985</v>
      </c>
      <c r="EC1" s="1" t="s">
        <v>985</v>
      </c>
      <c r="ED1" s="1" t="s">
        <v>985</v>
      </c>
      <c r="EE1" s="1" t="s">
        <v>985</v>
      </c>
      <c r="EF1" s="1" t="s">
        <v>985</v>
      </c>
      <c r="EG1" s="1" t="s">
        <v>985</v>
      </c>
      <c r="EH1" s="1" t="s">
        <v>985</v>
      </c>
      <c r="EI1" s="1" t="s">
        <v>985</v>
      </c>
      <c r="EJ1" s="1" t="s">
        <v>985</v>
      </c>
      <c r="EK1" s="1" t="s">
        <v>985</v>
      </c>
      <c r="EL1" s="1" t="s">
        <v>985</v>
      </c>
      <c r="EM1" s="1" t="s">
        <v>985</v>
      </c>
      <c r="EN1" s="1" t="s">
        <v>985</v>
      </c>
      <c r="EO1" s="1" t="s">
        <v>985</v>
      </c>
      <c r="EP1" s="1" t="s">
        <v>985</v>
      </c>
      <c r="EQ1" s="1" t="s">
        <v>985</v>
      </c>
      <c r="ER1" s="1" t="s">
        <v>987</v>
      </c>
      <c r="ES1" s="1" t="s">
        <v>987</v>
      </c>
      <c r="ET1" s="1" t="s">
        <v>987</v>
      </c>
      <c r="EU1" s="1" t="s">
        <v>987</v>
      </c>
      <c r="EV1" s="1" t="s">
        <v>987</v>
      </c>
      <c r="EW1" s="1" t="s">
        <v>987</v>
      </c>
      <c r="EX1" s="1" t="s">
        <v>987</v>
      </c>
      <c r="EY1" s="1" t="s">
        <v>987</v>
      </c>
      <c r="EZ1" s="1" t="s">
        <v>988</v>
      </c>
      <c r="FA1" s="1" t="s">
        <v>988</v>
      </c>
      <c r="FB1" s="1" t="s">
        <v>988</v>
      </c>
      <c r="FC1" s="1" t="s">
        <v>988</v>
      </c>
      <c r="FD1" s="1" t="s">
        <v>989</v>
      </c>
    </row>
    <row r="2" spans="1:160">
      <c r="A2" s="1" t="s">
        <v>990</v>
      </c>
      <c r="B2" s="1" t="s">
        <v>991</v>
      </c>
      <c r="C2" s="1" t="s">
        <v>992</v>
      </c>
      <c r="D2" s="1" t="s">
        <v>993</v>
      </c>
      <c r="E2" s="1" t="s">
        <v>994</v>
      </c>
      <c r="F2" s="1" t="s">
        <v>995</v>
      </c>
      <c r="G2" s="1" t="s">
        <v>996</v>
      </c>
      <c r="H2" s="1" t="s">
        <v>997</v>
      </c>
      <c r="I2" s="1" t="s">
        <v>1494</v>
      </c>
      <c r="J2" s="1" t="s">
        <v>998</v>
      </c>
      <c r="K2" s="1" t="s">
        <v>999</v>
      </c>
      <c r="L2" s="1" t="s">
        <v>1000</v>
      </c>
      <c r="M2" s="1" t="s">
        <v>1001</v>
      </c>
      <c r="N2" s="1" t="s">
        <v>1002</v>
      </c>
      <c r="O2" s="1" t="s">
        <v>1003</v>
      </c>
      <c r="P2" s="1" t="s">
        <v>1004</v>
      </c>
      <c r="Q2" s="1" t="s">
        <v>1005</v>
      </c>
      <c r="R2" s="1" t="s">
        <v>1006</v>
      </c>
      <c r="S2" s="1" t="s">
        <v>1007</v>
      </c>
      <c r="T2" s="1" t="s">
        <v>1008</v>
      </c>
      <c r="U2" s="1" t="s">
        <v>1009</v>
      </c>
      <c r="V2" s="1" t="s">
        <v>1010</v>
      </c>
      <c r="W2" s="1" t="s">
        <v>1011</v>
      </c>
      <c r="X2" s="1" t="s">
        <v>1012</v>
      </c>
      <c r="Y2" s="1" t="s">
        <v>1013</v>
      </c>
      <c r="Z2" s="1" t="s">
        <v>1014</v>
      </c>
      <c r="AA2" s="1" t="s">
        <v>1015</v>
      </c>
      <c r="AB2" s="1" t="s">
        <v>1016</v>
      </c>
      <c r="AC2" s="1" t="s">
        <v>1017</v>
      </c>
      <c r="AD2" s="1" t="s">
        <v>1018</v>
      </c>
      <c r="AE2" s="1" t="s">
        <v>1019</v>
      </c>
      <c r="AF2" s="1" t="s">
        <v>1020</v>
      </c>
      <c r="AG2" s="1" t="s">
        <v>1021</v>
      </c>
      <c r="AH2" s="1" t="s">
        <v>1022</v>
      </c>
      <c r="AI2" s="1" t="s">
        <v>1023</v>
      </c>
      <c r="AJ2" s="1" t="s">
        <v>1024</v>
      </c>
      <c r="AK2" s="1" t="s">
        <v>1025</v>
      </c>
      <c r="AL2" s="1" t="s">
        <v>1026</v>
      </c>
      <c r="AM2" s="1" t="s">
        <v>1027</v>
      </c>
      <c r="AN2" s="1" t="s">
        <v>1028</v>
      </c>
      <c r="AO2" s="1" t="s">
        <v>1029</v>
      </c>
      <c r="AP2" s="1" t="s">
        <v>1030</v>
      </c>
      <c r="AQ2" s="1" t="s">
        <v>1031</v>
      </c>
      <c r="AR2" s="1" t="s">
        <v>1032</v>
      </c>
      <c r="AS2" s="1" t="s">
        <v>1033</v>
      </c>
      <c r="AT2" s="1" t="s">
        <v>1034</v>
      </c>
      <c r="AU2" s="1" t="s">
        <v>1035</v>
      </c>
      <c r="AV2" s="1" t="s">
        <v>1036</v>
      </c>
      <c r="AW2" s="1" t="s">
        <v>1037</v>
      </c>
      <c r="AX2" s="1" t="s">
        <v>1038</v>
      </c>
      <c r="AY2" s="1" t="s">
        <v>1039</v>
      </c>
      <c r="AZ2" s="1" t="s">
        <v>1040</v>
      </c>
      <c r="BA2" s="1" t="s">
        <v>1041</v>
      </c>
      <c r="BB2" s="1" t="s">
        <v>1042</v>
      </c>
      <c r="BC2" s="1" t="s">
        <v>1043</v>
      </c>
      <c r="BD2" s="1" t="s">
        <v>1044</v>
      </c>
      <c r="BE2" s="1" t="s">
        <v>1045</v>
      </c>
      <c r="BF2" s="1" t="s">
        <v>1046</v>
      </c>
      <c r="BG2" s="1" t="s">
        <v>1047</v>
      </c>
      <c r="BH2" s="1" t="s">
        <v>1048</v>
      </c>
      <c r="BI2" s="1" t="s">
        <v>1049</v>
      </c>
      <c r="BJ2" s="1" t="s">
        <v>1050</v>
      </c>
      <c r="BK2" s="1" t="s">
        <v>1051</v>
      </c>
      <c r="BL2" s="1" t="s">
        <v>1052</v>
      </c>
      <c r="BM2" s="1" t="s">
        <v>1053</v>
      </c>
      <c r="BN2" s="1" t="s">
        <v>1054</v>
      </c>
      <c r="BO2" s="1" t="s">
        <v>1055</v>
      </c>
      <c r="BP2" s="1" t="s">
        <v>1056</v>
      </c>
      <c r="BQ2" s="1" t="s">
        <v>1477</v>
      </c>
      <c r="BR2" s="1" t="s">
        <v>1057</v>
      </c>
      <c r="BS2" s="1" t="s">
        <v>1058</v>
      </c>
      <c r="BT2" s="1" t="s">
        <v>1059</v>
      </c>
      <c r="BU2" s="1" t="s">
        <v>1060</v>
      </c>
      <c r="BV2" s="1" t="s">
        <v>1061</v>
      </c>
      <c r="BW2" s="1" t="s">
        <v>1062</v>
      </c>
      <c r="BX2" s="1" t="s">
        <v>1063</v>
      </c>
      <c r="BY2" s="1" t="s">
        <v>1064</v>
      </c>
      <c r="BZ2" s="1" t="s">
        <v>1065</v>
      </c>
      <c r="CA2" s="1" t="s">
        <v>1066</v>
      </c>
      <c r="CB2" s="1" t="s">
        <v>1067</v>
      </c>
      <c r="CC2" s="1" t="s">
        <v>1068</v>
      </c>
      <c r="CD2" s="1" t="s">
        <v>1069</v>
      </c>
      <c r="CE2" s="1" t="s">
        <v>1070</v>
      </c>
      <c r="CF2" s="1" t="s">
        <v>1071</v>
      </c>
      <c r="CG2" s="1" t="s">
        <v>1072</v>
      </c>
      <c r="CH2" s="1" t="s">
        <v>1073</v>
      </c>
      <c r="CI2" s="1" t="s">
        <v>1074</v>
      </c>
      <c r="CJ2" s="1" t="s">
        <v>1075</v>
      </c>
      <c r="CK2" s="1" t="s">
        <v>1076</v>
      </c>
      <c r="CL2" s="1" t="s">
        <v>1077</v>
      </c>
      <c r="CM2" s="1" t="s">
        <v>1078</v>
      </c>
      <c r="CN2" s="1" t="s">
        <v>1079</v>
      </c>
      <c r="CO2" s="1" t="s">
        <v>1080</v>
      </c>
      <c r="CP2" s="1" t="s">
        <v>1081</v>
      </c>
      <c r="CQ2" s="1" t="s">
        <v>1082</v>
      </c>
      <c r="CR2" s="1" t="s">
        <v>1083</v>
      </c>
      <c r="CS2" s="1" t="s">
        <v>1084</v>
      </c>
      <c r="CT2" s="1" t="s">
        <v>1085</v>
      </c>
      <c r="CU2" s="1" t="s">
        <v>1086</v>
      </c>
      <c r="CV2" s="1" t="s">
        <v>1087</v>
      </c>
      <c r="CW2" s="1" t="s">
        <v>1088</v>
      </c>
      <c r="CX2" s="1" t="s">
        <v>1089</v>
      </c>
      <c r="CY2" s="1" t="s">
        <v>1090</v>
      </c>
      <c r="CZ2" s="1" t="s">
        <v>1091</v>
      </c>
      <c r="DA2" s="1" t="s">
        <v>1092</v>
      </c>
      <c r="DB2" s="1" t="s">
        <v>1093</v>
      </c>
      <c r="DC2" s="1" t="s">
        <v>1094</v>
      </c>
      <c r="DD2" s="1" t="s">
        <v>982</v>
      </c>
      <c r="DE2" s="1" t="s">
        <v>1095</v>
      </c>
      <c r="DF2" s="1" t="s">
        <v>1096</v>
      </c>
      <c r="DG2" s="1" t="s">
        <v>1097</v>
      </c>
      <c r="DH2" s="1" t="s">
        <v>1098</v>
      </c>
      <c r="DI2" s="1" t="s">
        <v>1099</v>
      </c>
      <c r="DJ2" s="1" t="s">
        <v>1100</v>
      </c>
      <c r="DK2" s="1" t="s">
        <v>1101</v>
      </c>
      <c r="DL2" s="1" t="s">
        <v>1102</v>
      </c>
      <c r="DM2" s="1" t="s">
        <v>1103</v>
      </c>
      <c r="DN2" s="1" t="s">
        <v>1104</v>
      </c>
      <c r="DO2" s="1" t="s">
        <v>1105</v>
      </c>
      <c r="DP2" s="1" t="s">
        <v>1106</v>
      </c>
      <c r="DQ2" s="1" t="s">
        <v>1107</v>
      </c>
      <c r="DR2" s="1" t="s">
        <v>1108</v>
      </c>
      <c r="DS2" s="1" t="s">
        <v>1109</v>
      </c>
      <c r="DT2" s="1" t="s">
        <v>1110</v>
      </c>
      <c r="DU2" s="1" t="s">
        <v>1111</v>
      </c>
      <c r="DV2" s="1" t="s">
        <v>1112</v>
      </c>
      <c r="DW2" s="1" t="s">
        <v>1113</v>
      </c>
      <c r="DX2" s="1" t="s">
        <v>1114</v>
      </c>
      <c r="DZ2" s="1" t="s">
        <v>1115</v>
      </c>
      <c r="EA2" s="1" t="s">
        <v>1116</v>
      </c>
      <c r="EB2" s="1" t="s">
        <v>1117</v>
      </c>
      <c r="EC2" s="1" t="s">
        <v>1118</v>
      </c>
      <c r="ED2" s="1" t="s">
        <v>1119</v>
      </c>
      <c r="EE2" s="1" t="s">
        <v>1120</v>
      </c>
      <c r="EF2" s="1" t="s">
        <v>986</v>
      </c>
      <c r="EG2" s="1" t="s">
        <v>1121</v>
      </c>
      <c r="EH2" s="1" t="s">
        <v>1122</v>
      </c>
      <c r="EI2" s="1" t="s">
        <v>1123</v>
      </c>
      <c r="EJ2" s="1" t="s">
        <v>1124</v>
      </c>
      <c r="EK2" s="1" t="s">
        <v>1473</v>
      </c>
      <c r="EL2" s="1" t="s">
        <v>1125</v>
      </c>
      <c r="EM2" s="1" t="s">
        <v>1126</v>
      </c>
      <c r="EN2" s="1" t="s">
        <v>1471</v>
      </c>
      <c r="EO2" s="1" t="s">
        <v>1127</v>
      </c>
      <c r="EP2" s="1" t="s">
        <v>1128</v>
      </c>
      <c r="EQ2" s="1" t="s">
        <v>1129</v>
      </c>
      <c r="ER2" s="1" t="s">
        <v>1130</v>
      </c>
      <c r="ES2" s="1" t="s">
        <v>1131</v>
      </c>
      <c r="ET2" s="1" t="s">
        <v>1132</v>
      </c>
      <c r="EU2" s="1" t="s">
        <v>1133</v>
      </c>
      <c r="EV2" s="1" t="s">
        <v>1134</v>
      </c>
      <c r="EW2" s="1" t="s">
        <v>1472</v>
      </c>
      <c r="EX2" s="1" t="s">
        <v>1135</v>
      </c>
      <c r="EY2" s="1" t="s">
        <v>1136</v>
      </c>
      <c r="EZ2" s="1" t="s">
        <v>1137</v>
      </c>
      <c r="FA2" s="1" t="s">
        <v>1138</v>
      </c>
      <c r="FB2" s="1" t="s">
        <v>1139</v>
      </c>
      <c r="FC2" s="1" t="s">
        <v>1140</v>
      </c>
      <c r="FD2" s="1" t="s">
        <v>1141</v>
      </c>
    </row>
    <row r="3" spans="1:160">
      <c r="A3" s="1" t="s">
        <v>1144</v>
      </c>
      <c r="B3" s="1" t="s">
        <v>1145</v>
      </c>
      <c r="C3" s="1" t="s">
        <v>1151</v>
      </c>
      <c r="D3" s="1" t="s">
        <v>1151</v>
      </c>
      <c r="E3" s="1" t="s">
        <v>1144</v>
      </c>
      <c r="F3" s="1" t="s">
        <v>1163</v>
      </c>
      <c r="G3" s="1" t="s">
        <v>1170</v>
      </c>
      <c r="H3" s="1" t="s">
        <v>1144</v>
      </c>
      <c r="I3" s="1" t="s">
        <v>1144</v>
      </c>
      <c r="J3" s="1" t="s">
        <v>1160</v>
      </c>
      <c r="K3" s="1" t="s">
        <v>1181</v>
      </c>
      <c r="L3" s="1" t="s">
        <v>1185</v>
      </c>
      <c r="M3" s="1" t="s">
        <v>1191</v>
      </c>
      <c r="N3" s="1" t="s">
        <v>1194</v>
      </c>
      <c r="O3" s="1" t="s">
        <v>1192</v>
      </c>
      <c r="P3" s="1" t="s">
        <v>1192</v>
      </c>
      <c r="Q3" s="1" t="s">
        <v>1191</v>
      </c>
      <c r="R3" s="1" t="s">
        <v>1181</v>
      </c>
      <c r="S3" s="1" t="s">
        <v>1205</v>
      </c>
      <c r="T3" s="1" t="s">
        <v>1191</v>
      </c>
      <c r="U3" s="1" t="s">
        <v>1155</v>
      </c>
      <c r="V3" s="1" t="s">
        <v>1208</v>
      </c>
      <c r="W3" s="1" t="s">
        <v>1191</v>
      </c>
      <c r="X3" s="1" t="s">
        <v>1493</v>
      </c>
      <c r="Y3" s="1" t="s">
        <v>1149</v>
      </c>
      <c r="Z3" s="1" t="s">
        <v>1155</v>
      </c>
      <c r="AA3" s="1" t="s">
        <v>1214</v>
      </c>
      <c r="AB3" s="1" t="s">
        <v>1170</v>
      </c>
      <c r="AC3" s="1" t="s">
        <v>1219</v>
      </c>
      <c r="AD3" s="1" t="s">
        <v>1217</v>
      </c>
      <c r="AE3" s="1" t="s">
        <v>1224</v>
      </c>
      <c r="AF3" s="1" t="s">
        <v>1170</v>
      </c>
      <c r="AG3" s="1" t="s">
        <v>1227</v>
      </c>
      <c r="AH3" s="1" t="s">
        <v>1235</v>
      </c>
      <c r="AI3" s="1" t="s">
        <v>1170</v>
      </c>
      <c r="AJ3" s="1" t="s">
        <v>1224</v>
      </c>
      <c r="AK3" s="1" t="s">
        <v>1244</v>
      </c>
      <c r="AL3" s="1" t="s">
        <v>1246</v>
      </c>
      <c r="AM3" s="1" t="s">
        <v>1249</v>
      </c>
      <c r="AN3" s="1" t="s">
        <v>1154</v>
      </c>
      <c r="AO3" s="1" t="s">
        <v>1214</v>
      </c>
      <c r="AP3" s="1" t="s">
        <v>1145</v>
      </c>
      <c r="AQ3" s="1" t="s">
        <v>1255</v>
      </c>
      <c r="AR3" s="1" t="s">
        <v>1214</v>
      </c>
      <c r="AS3" s="1" t="s">
        <v>1259</v>
      </c>
      <c r="AT3" s="1" t="s">
        <v>1261</v>
      </c>
      <c r="AU3" s="1" t="s">
        <v>113</v>
      </c>
      <c r="AV3" s="1" t="s">
        <v>1170</v>
      </c>
      <c r="AW3" s="1" t="s">
        <v>1157</v>
      </c>
      <c r="AX3" s="1" t="s">
        <v>1268</v>
      </c>
      <c r="AY3" s="1" t="s">
        <v>1269</v>
      </c>
      <c r="AZ3" s="1" t="s">
        <v>1244</v>
      </c>
      <c r="BA3" s="1" t="s">
        <v>1271</v>
      </c>
      <c r="BB3" s="1" t="s">
        <v>1151</v>
      </c>
      <c r="BC3" s="1" t="s">
        <v>1251</v>
      </c>
      <c r="BD3" s="1" t="s">
        <v>1260</v>
      </c>
      <c r="BE3" s="1" t="s">
        <v>1155</v>
      </c>
      <c r="BF3" s="1" t="s">
        <v>1191</v>
      </c>
      <c r="BG3" s="1" t="s">
        <v>1277</v>
      </c>
      <c r="BH3" s="1" t="s">
        <v>1507</v>
      </c>
      <c r="BI3" s="1" t="s">
        <v>1246</v>
      </c>
      <c r="BJ3" s="1" t="s">
        <v>1204</v>
      </c>
      <c r="BK3" s="1" t="s">
        <v>1159</v>
      </c>
      <c r="BL3" s="1" t="s">
        <v>1155</v>
      </c>
      <c r="BM3" s="1" t="s">
        <v>1259</v>
      </c>
      <c r="BN3" s="1" t="s">
        <v>1260</v>
      </c>
      <c r="BO3" s="1" t="s">
        <v>1286</v>
      </c>
      <c r="BP3" s="1" t="s">
        <v>1259</v>
      </c>
      <c r="BQ3" s="1" t="s">
        <v>1154</v>
      </c>
      <c r="BR3" s="1" t="s">
        <v>1203</v>
      </c>
      <c r="BS3" s="1" t="s">
        <v>1296</v>
      </c>
      <c r="BT3" s="1" t="s">
        <v>1298</v>
      </c>
      <c r="BU3" s="1" t="s">
        <v>1227</v>
      </c>
      <c r="BV3" s="1" t="s">
        <v>1257</v>
      </c>
      <c r="BW3" s="1" t="s">
        <v>1203</v>
      </c>
      <c r="BX3" s="1" t="s">
        <v>1306</v>
      </c>
      <c r="BY3" s="1" t="s">
        <v>1286</v>
      </c>
      <c r="BZ3" s="1" t="s">
        <v>1310</v>
      </c>
      <c r="CA3" s="1" t="s">
        <v>1314</v>
      </c>
      <c r="CB3" s="1" t="s">
        <v>1314</v>
      </c>
      <c r="CC3" s="1" t="s">
        <v>1159</v>
      </c>
      <c r="CD3" s="1" t="s">
        <v>1286</v>
      </c>
      <c r="CE3" s="1" t="s">
        <v>1328</v>
      </c>
      <c r="CF3" s="1" t="s">
        <v>1331</v>
      </c>
      <c r="CG3" s="1" t="s">
        <v>1223</v>
      </c>
      <c r="CH3" s="1" t="s">
        <v>1336</v>
      </c>
      <c r="CI3" s="1" t="s">
        <v>1336</v>
      </c>
      <c r="CJ3" s="1" t="s">
        <v>1214</v>
      </c>
      <c r="CK3" s="1" t="s">
        <v>1336</v>
      </c>
      <c r="CL3" s="1" t="s">
        <v>1224</v>
      </c>
      <c r="CM3" s="1" t="s">
        <v>1349</v>
      </c>
      <c r="CN3" s="1" t="s">
        <v>1187</v>
      </c>
      <c r="CO3" s="1" t="s">
        <v>1352</v>
      </c>
      <c r="CP3" s="1" t="s">
        <v>1352</v>
      </c>
      <c r="CQ3" s="1" t="s">
        <v>1181</v>
      </c>
      <c r="CR3" s="1" t="s">
        <v>262</v>
      </c>
      <c r="CS3" s="1" t="s">
        <v>1356</v>
      </c>
      <c r="CT3" s="1" t="s">
        <v>1144</v>
      </c>
      <c r="CU3" s="1" t="s">
        <v>1357</v>
      </c>
      <c r="CV3" s="1" t="s">
        <v>1194</v>
      </c>
      <c r="CW3" s="1" t="s">
        <v>1181</v>
      </c>
      <c r="CX3" s="1" t="s">
        <v>1194</v>
      </c>
      <c r="CY3" s="1" t="s">
        <v>1194</v>
      </c>
      <c r="CZ3" s="1" t="s">
        <v>1244</v>
      </c>
      <c r="DA3" s="1" t="s">
        <v>1194</v>
      </c>
      <c r="DB3" s="1" t="s">
        <v>1366</v>
      </c>
      <c r="DC3" s="1" t="s">
        <v>1194</v>
      </c>
      <c r="DE3" s="1" t="s">
        <v>1210</v>
      </c>
      <c r="DF3" s="1" t="s">
        <v>1372</v>
      </c>
      <c r="DG3" s="1" t="s">
        <v>1171</v>
      </c>
      <c r="DH3" s="1" t="s">
        <v>1304</v>
      </c>
      <c r="DI3" s="1" t="s">
        <v>1151</v>
      </c>
      <c r="DJ3" s="1" t="s">
        <v>1151</v>
      </c>
      <c r="DK3" s="1" t="s">
        <v>1389</v>
      </c>
      <c r="DL3" s="1" t="s">
        <v>1392</v>
      </c>
      <c r="DM3" s="1" t="s">
        <v>1214</v>
      </c>
      <c r="DN3" s="1" t="s">
        <v>915</v>
      </c>
      <c r="DO3" s="1" t="s">
        <v>1411</v>
      </c>
      <c r="DP3" s="1" t="s">
        <v>1418</v>
      </c>
      <c r="DQ3" s="1" t="s">
        <v>1159</v>
      </c>
      <c r="DR3" s="1" t="s">
        <v>1181</v>
      </c>
      <c r="DS3" s="1" t="s">
        <v>1421</v>
      </c>
      <c r="DT3" s="1" t="s">
        <v>1144</v>
      </c>
      <c r="DU3" s="1" t="s">
        <v>1227</v>
      </c>
      <c r="DV3" s="1" t="s">
        <v>1216</v>
      </c>
      <c r="DW3" s="1" t="s">
        <v>1214</v>
      </c>
      <c r="DX3" s="1" t="s">
        <v>1227</v>
      </c>
      <c r="DY3" s="1" t="s">
        <v>985</v>
      </c>
      <c r="DZ3" s="1" t="s">
        <v>1428</v>
      </c>
      <c r="EA3" s="1" t="s">
        <v>1224</v>
      </c>
      <c r="EB3" s="1" t="s">
        <v>1434</v>
      </c>
      <c r="EC3" s="1" t="s">
        <v>1170</v>
      </c>
      <c r="ED3" s="1" t="s">
        <v>1440</v>
      </c>
      <c r="EE3" s="1" t="s">
        <v>1444</v>
      </c>
      <c r="EG3" s="1" t="s">
        <v>1188</v>
      </c>
      <c r="EH3" s="1" t="s">
        <v>1449</v>
      </c>
      <c r="EI3" s="1" t="s">
        <v>1449</v>
      </c>
      <c r="EJ3" s="1" t="s">
        <v>1260</v>
      </c>
      <c r="EK3" s="1" t="s">
        <v>1143</v>
      </c>
      <c r="EL3" s="1" t="s">
        <v>1145</v>
      </c>
      <c r="EM3" s="1" t="s">
        <v>1304</v>
      </c>
      <c r="EN3" s="1" t="s">
        <v>1282</v>
      </c>
      <c r="EO3" s="1" t="s">
        <v>1454</v>
      </c>
      <c r="EP3" s="1" t="s">
        <v>1148</v>
      </c>
      <c r="EQ3" s="1" t="s">
        <v>1151</v>
      </c>
      <c r="ER3" s="1" t="s">
        <v>1313</v>
      </c>
      <c r="ES3" s="1" t="s">
        <v>1208</v>
      </c>
      <c r="ET3" s="1" t="s">
        <v>1498</v>
      </c>
      <c r="EU3" s="1" t="s">
        <v>1213</v>
      </c>
      <c r="EV3" s="1" t="s">
        <v>1237</v>
      </c>
      <c r="EW3" s="1" t="s">
        <v>1151</v>
      </c>
      <c r="EX3" s="1" t="s">
        <v>1463</v>
      </c>
      <c r="EY3" s="1" t="s">
        <v>1412</v>
      </c>
      <c r="EZ3" s="1" t="s">
        <v>1348</v>
      </c>
      <c r="FA3" s="1" t="s">
        <v>1191</v>
      </c>
      <c r="FB3" s="1" t="s">
        <v>1181</v>
      </c>
      <c r="FC3" s="1" t="s">
        <v>1470</v>
      </c>
      <c r="FD3" s="1" t="s">
        <v>1151</v>
      </c>
    </row>
    <row r="4" spans="1:160">
      <c r="A4" s="1" t="s">
        <v>1142</v>
      </c>
      <c r="B4" s="1" t="s">
        <v>1143</v>
      </c>
      <c r="C4" s="1" t="s">
        <v>1154</v>
      </c>
      <c r="D4" s="1" t="s">
        <v>1159</v>
      </c>
      <c r="E4" s="1" t="s">
        <v>1160</v>
      </c>
      <c r="F4" s="1" t="s">
        <v>1161</v>
      </c>
      <c r="G4" s="1" t="s">
        <v>1168</v>
      </c>
      <c r="H4" s="1" t="s">
        <v>1177</v>
      </c>
      <c r="I4" s="1" t="s">
        <v>1160</v>
      </c>
      <c r="J4" s="1" t="s">
        <v>1145</v>
      </c>
      <c r="K4" s="1" t="s">
        <v>1148</v>
      </c>
      <c r="L4" s="1" t="s">
        <v>1181</v>
      </c>
      <c r="M4" s="1" t="s">
        <v>1192</v>
      </c>
      <c r="N4" s="1" t="s">
        <v>1193</v>
      </c>
      <c r="O4" s="1" t="s">
        <v>1196</v>
      </c>
      <c r="P4" s="1" t="s">
        <v>1157</v>
      </c>
      <c r="Q4" s="1" t="s">
        <v>1144</v>
      </c>
      <c r="R4" s="1" t="s">
        <v>1203</v>
      </c>
      <c r="S4" s="1" t="s">
        <v>1196</v>
      </c>
      <c r="T4" s="1" t="s">
        <v>1192</v>
      </c>
      <c r="U4" s="1" t="s">
        <v>1178</v>
      </c>
      <c r="V4" s="1" t="s">
        <v>1181</v>
      </c>
      <c r="W4" s="1" t="s">
        <v>1145</v>
      </c>
      <c r="X4" s="1" t="s">
        <v>1178</v>
      </c>
      <c r="Y4" s="1" t="s">
        <v>1166</v>
      </c>
      <c r="Z4" s="1" t="s">
        <v>1213</v>
      </c>
      <c r="AA4" s="1" t="s">
        <v>1160</v>
      </c>
      <c r="AB4" s="1" t="s">
        <v>1160</v>
      </c>
      <c r="AC4" s="1" t="s">
        <v>1218</v>
      </c>
      <c r="AD4" s="1" t="s">
        <v>1154</v>
      </c>
      <c r="AE4" s="1" t="s">
        <v>1155</v>
      </c>
      <c r="AF4" s="1" t="s">
        <v>1225</v>
      </c>
      <c r="AG4" s="1" t="s">
        <v>1204</v>
      </c>
      <c r="AH4" s="1" t="s">
        <v>1237</v>
      </c>
      <c r="AI4" s="1" t="s">
        <v>1154</v>
      </c>
      <c r="AJ4" s="1" t="s">
        <v>1203</v>
      </c>
      <c r="AK4" s="1" t="s">
        <v>1213</v>
      </c>
      <c r="AL4" s="1" t="s">
        <v>1245</v>
      </c>
      <c r="AM4" s="1" t="s">
        <v>1215</v>
      </c>
      <c r="AN4" s="1" t="s">
        <v>1204</v>
      </c>
      <c r="AO4" s="1" t="s">
        <v>1251</v>
      </c>
      <c r="AP4" s="1" t="s">
        <v>1187</v>
      </c>
      <c r="AQ4" s="1" t="s">
        <v>1213</v>
      </c>
      <c r="AR4" s="1" t="s">
        <v>1257</v>
      </c>
      <c r="AS4" s="1" t="s">
        <v>1154</v>
      </c>
      <c r="AT4" s="1" t="s">
        <v>1263</v>
      </c>
      <c r="AU4" s="1" t="s">
        <v>1489</v>
      </c>
      <c r="AV4" s="1" t="s">
        <v>1214</v>
      </c>
      <c r="AW4" s="1" t="s">
        <v>1507</v>
      </c>
      <c r="AX4" s="1" t="s">
        <v>1145</v>
      </c>
      <c r="AY4" s="1" t="s">
        <v>1270</v>
      </c>
      <c r="AZ4" s="1" t="s">
        <v>1496</v>
      </c>
      <c r="BA4" s="1" t="s">
        <v>1157</v>
      </c>
      <c r="BB4" s="1" t="s">
        <v>1272</v>
      </c>
      <c r="BC4" s="1" t="s">
        <v>1273</v>
      </c>
      <c r="BD4" s="1" t="s">
        <v>1143</v>
      </c>
      <c r="BE4" s="1" t="s">
        <v>1213</v>
      </c>
      <c r="BF4" s="1" t="s">
        <v>1145</v>
      </c>
      <c r="BG4" s="1" t="s">
        <v>1278</v>
      </c>
      <c r="BH4" s="1" t="s">
        <v>1501</v>
      </c>
      <c r="BI4" s="1" t="s">
        <v>1282</v>
      </c>
      <c r="BJ4" s="1" t="s">
        <v>1283</v>
      </c>
      <c r="BK4" s="1" t="s">
        <v>1220</v>
      </c>
      <c r="BL4" s="1" t="s">
        <v>1149</v>
      </c>
      <c r="BM4" s="1" t="s">
        <v>1152</v>
      </c>
      <c r="BN4" s="1" t="s">
        <v>1503</v>
      </c>
      <c r="BO4" s="1" t="s">
        <v>1285</v>
      </c>
      <c r="BP4" s="1" t="s">
        <v>1152</v>
      </c>
      <c r="BQ4" s="1" t="s">
        <v>1289</v>
      </c>
      <c r="BR4" s="1" t="s">
        <v>1259</v>
      </c>
      <c r="BS4" s="1" t="s">
        <v>1290</v>
      </c>
      <c r="BT4" s="1" t="s">
        <v>1214</v>
      </c>
      <c r="BU4" s="1" t="s">
        <v>1259</v>
      </c>
      <c r="BV4" s="1" t="s">
        <v>1302</v>
      </c>
      <c r="BW4" s="1" t="s">
        <v>1290</v>
      </c>
      <c r="BX4" s="1" t="s">
        <v>1296</v>
      </c>
      <c r="BY4" s="1" t="s">
        <v>1159</v>
      </c>
      <c r="BZ4" s="1" t="s">
        <v>1260</v>
      </c>
      <c r="CA4" s="1" t="s">
        <v>1159</v>
      </c>
      <c r="CB4" s="1" t="s">
        <v>1273</v>
      </c>
      <c r="CC4" s="1" t="s">
        <v>1244</v>
      </c>
      <c r="CD4" s="1" t="s">
        <v>1318</v>
      </c>
      <c r="CE4" s="1" t="s">
        <v>1329</v>
      </c>
      <c r="CF4" s="1" t="s">
        <v>1333</v>
      </c>
      <c r="CG4" s="1" t="s">
        <v>1243</v>
      </c>
      <c r="CH4" s="1" t="s">
        <v>1154</v>
      </c>
      <c r="CI4" s="1" t="s">
        <v>1286</v>
      </c>
      <c r="CJ4" s="1" t="s">
        <v>1285</v>
      </c>
      <c r="CK4" s="1" t="s">
        <v>1333</v>
      </c>
      <c r="CL4" s="1" t="s">
        <v>1333</v>
      </c>
      <c r="CM4" s="1" t="s">
        <v>1190</v>
      </c>
      <c r="CN4" s="1" t="s">
        <v>1190</v>
      </c>
      <c r="CO4" s="1" t="s">
        <v>1351</v>
      </c>
      <c r="CP4" s="1" t="s">
        <v>1351</v>
      </c>
      <c r="CQ4" s="1" t="s">
        <v>1333</v>
      </c>
      <c r="CR4" s="1" t="s">
        <v>1483</v>
      </c>
      <c r="CS4" s="1" t="s">
        <v>1485</v>
      </c>
      <c r="CT4" s="1" t="s">
        <v>1356</v>
      </c>
      <c r="CU4" s="1" t="s">
        <v>1358</v>
      </c>
      <c r="CV4" s="1" t="s">
        <v>1192</v>
      </c>
      <c r="CW4" s="1" t="s">
        <v>1194</v>
      </c>
      <c r="CX4" s="1" t="s">
        <v>1322</v>
      </c>
      <c r="CY4" s="1" t="s">
        <v>1363</v>
      </c>
      <c r="CZ4" s="1" t="s">
        <v>1145</v>
      </c>
      <c r="DA4" s="1" t="s">
        <v>1506</v>
      </c>
      <c r="DB4" s="1" t="s">
        <v>1367</v>
      </c>
      <c r="DC4" s="1" t="s">
        <v>1145</v>
      </c>
      <c r="DE4" s="1" t="s">
        <v>1226</v>
      </c>
      <c r="DF4" s="1" t="s">
        <v>1154</v>
      </c>
      <c r="DG4" s="1" t="s">
        <v>1379</v>
      </c>
      <c r="DH4" s="1" t="s">
        <v>1155</v>
      </c>
      <c r="DI4" s="1" t="s">
        <v>1148</v>
      </c>
      <c r="DJ4" s="1" t="s">
        <v>1251</v>
      </c>
      <c r="DK4" s="1" t="s">
        <v>1238</v>
      </c>
      <c r="DL4" s="1" t="s">
        <v>1390</v>
      </c>
      <c r="DM4" s="1" t="s">
        <v>1160</v>
      </c>
      <c r="DN4" s="1" t="s">
        <v>1399</v>
      </c>
      <c r="DO4" s="1" t="s">
        <v>1227</v>
      </c>
      <c r="DP4" s="1" t="s">
        <v>1415</v>
      </c>
      <c r="DQ4" s="1" t="s">
        <v>1407</v>
      </c>
      <c r="DR4" s="1" t="s">
        <v>1144</v>
      </c>
      <c r="DS4" s="1" t="s">
        <v>1144</v>
      </c>
      <c r="DT4" s="1" t="s">
        <v>1160</v>
      </c>
      <c r="DU4" s="1" t="s">
        <v>1257</v>
      </c>
      <c r="DV4" s="1" t="s">
        <v>1215</v>
      </c>
      <c r="DW4" s="1" t="s">
        <v>1159</v>
      </c>
      <c r="DX4" s="1" t="s">
        <v>1257</v>
      </c>
      <c r="DZ4" s="1" t="s">
        <v>1161</v>
      </c>
      <c r="EA4" s="1" t="s">
        <v>1431</v>
      </c>
      <c r="EB4" s="1" t="s">
        <v>1376</v>
      </c>
      <c r="EC4" s="1" t="s">
        <v>1246</v>
      </c>
      <c r="ED4" s="1" t="s">
        <v>1443</v>
      </c>
      <c r="EE4" s="1" t="s">
        <v>1498</v>
      </c>
      <c r="EG4" s="1" t="s">
        <v>1223</v>
      </c>
      <c r="EH4" s="1" t="s">
        <v>1203</v>
      </c>
      <c r="EI4" s="1" t="s">
        <v>1203</v>
      </c>
      <c r="EJ4" s="1" t="s">
        <v>1450</v>
      </c>
      <c r="EK4" s="1" t="s">
        <v>1507</v>
      </c>
      <c r="EL4" s="1" t="s">
        <v>1197</v>
      </c>
      <c r="EM4" s="1" t="s">
        <v>1187</v>
      </c>
      <c r="EN4" s="1" t="s">
        <v>1474</v>
      </c>
      <c r="EO4" s="1" t="s">
        <v>1351</v>
      </c>
      <c r="EP4" s="1" t="s">
        <v>1457</v>
      </c>
      <c r="EQ4" s="1" t="s">
        <v>1145</v>
      </c>
      <c r="ER4" s="1" t="s">
        <v>1459</v>
      </c>
      <c r="ES4" s="1" t="s">
        <v>1166</v>
      </c>
      <c r="ET4" s="1" t="s">
        <v>1144</v>
      </c>
      <c r="EU4" s="1" t="s">
        <v>1461</v>
      </c>
      <c r="EV4" s="1" t="s">
        <v>1459</v>
      </c>
      <c r="EW4" s="1" t="s">
        <v>1159</v>
      </c>
      <c r="EX4" s="1" t="s">
        <v>1464</v>
      </c>
      <c r="EY4" s="1" t="s">
        <v>1459</v>
      </c>
      <c r="EZ4" s="1" t="s">
        <v>1465</v>
      </c>
      <c r="FA4" s="1" t="s">
        <v>1203</v>
      </c>
      <c r="FB4" s="1" t="s">
        <v>1333</v>
      </c>
      <c r="FC4" s="1" t="s">
        <v>1465</v>
      </c>
      <c r="FD4" s="1" t="s">
        <v>1313</v>
      </c>
    </row>
    <row r="5" spans="1:160">
      <c r="A5" s="1" t="s">
        <v>1143</v>
      </c>
      <c r="B5" s="1" t="s">
        <v>1495</v>
      </c>
      <c r="C5" s="1" t="s">
        <v>1148</v>
      </c>
      <c r="D5" s="1" t="s">
        <v>1145</v>
      </c>
      <c r="E5" s="1" t="s">
        <v>1142</v>
      </c>
      <c r="F5" s="1" t="s">
        <v>1162</v>
      </c>
      <c r="G5" s="1" t="s">
        <v>1174</v>
      </c>
      <c r="H5" s="1" t="s">
        <v>1175</v>
      </c>
      <c r="I5" s="1" t="s">
        <v>1142</v>
      </c>
      <c r="J5" s="1" t="s">
        <v>1148</v>
      </c>
      <c r="K5" s="1" t="s">
        <v>1180</v>
      </c>
      <c r="L5" s="1" t="s">
        <v>1180</v>
      </c>
      <c r="M5" s="1" t="s">
        <v>1190</v>
      </c>
      <c r="N5" s="1" t="s">
        <v>1192</v>
      </c>
      <c r="O5" s="1" t="s">
        <v>1189</v>
      </c>
      <c r="P5" s="1" t="s">
        <v>1197</v>
      </c>
      <c r="Q5" s="1" t="s">
        <v>1145</v>
      </c>
      <c r="R5" s="1" t="s">
        <v>1204</v>
      </c>
      <c r="S5" s="1" t="s">
        <v>1206</v>
      </c>
      <c r="T5" s="1" t="s">
        <v>1161</v>
      </c>
      <c r="U5" s="1" t="s">
        <v>1497</v>
      </c>
      <c r="V5" s="1" t="s">
        <v>1207</v>
      </c>
      <c r="W5" s="1" t="s">
        <v>1178</v>
      </c>
      <c r="X5" s="1" t="s">
        <v>1169</v>
      </c>
      <c r="Y5" s="1" t="s">
        <v>1211</v>
      </c>
      <c r="Z5" s="1" t="s">
        <v>1157</v>
      </c>
      <c r="AA5" s="1" t="s">
        <v>1215</v>
      </c>
      <c r="AB5" s="1" t="s">
        <v>1216</v>
      </c>
      <c r="AC5" s="1" t="s">
        <v>1168</v>
      </c>
      <c r="AD5" s="1" t="s">
        <v>1193</v>
      </c>
      <c r="AE5" s="1" t="s">
        <v>1213</v>
      </c>
      <c r="AF5" s="1" t="s">
        <v>1226</v>
      </c>
      <c r="AG5" s="1" t="s">
        <v>1173</v>
      </c>
      <c r="AH5" s="1" t="s">
        <v>1233</v>
      </c>
      <c r="AI5" s="1" t="s">
        <v>1241</v>
      </c>
      <c r="AJ5" s="1" t="s">
        <v>1154</v>
      </c>
      <c r="AL5" s="1" t="s">
        <v>1194</v>
      </c>
      <c r="AM5" s="1" t="s">
        <v>1248</v>
      </c>
      <c r="AN5" s="1" t="s">
        <v>1193</v>
      </c>
      <c r="AO5" s="1" t="s">
        <v>1160</v>
      </c>
      <c r="AP5" s="1" t="s">
        <v>1155</v>
      </c>
      <c r="AQ5" s="1" t="s">
        <v>1223</v>
      </c>
      <c r="AR5" s="1" t="s">
        <v>1207</v>
      </c>
      <c r="AS5" s="1" t="s">
        <v>1155</v>
      </c>
      <c r="AT5" s="1" t="s">
        <v>1190</v>
      </c>
      <c r="AV5" s="1" t="s">
        <v>1264</v>
      </c>
      <c r="AW5" s="1" t="s">
        <v>1496</v>
      </c>
      <c r="AX5" s="1" t="s">
        <v>1143</v>
      </c>
      <c r="AY5" s="1" t="s">
        <v>1157</v>
      </c>
      <c r="AZ5" s="1" t="s">
        <v>1495</v>
      </c>
      <c r="BA5" s="1" t="s">
        <v>1489</v>
      </c>
      <c r="BB5" s="1" t="s">
        <v>1145</v>
      </c>
      <c r="BC5" s="1" t="s">
        <v>1142</v>
      </c>
      <c r="BD5" s="1" t="s">
        <v>1211</v>
      </c>
      <c r="BE5" s="1" t="s">
        <v>1179</v>
      </c>
      <c r="BF5" s="1" t="s">
        <v>1155</v>
      </c>
      <c r="BG5" s="1" t="s">
        <v>1142</v>
      </c>
      <c r="BH5" s="1" t="s">
        <v>1496</v>
      </c>
      <c r="BI5" s="1" t="s">
        <v>1280</v>
      </c>
      <c r="BJ5" s="1" t="s">
        <v>1260</v>
      </c>
      <c r="BK5" s="1" t="s">
        <v>1496</v>
      </c>
      <c r="BL5" s="1" t="s">
        <v>1507</v>
      </c>
      <c r="BM5" s="1" t="s">
        <v>1211</v>
      </c>
      <c r="BO5" s="1" t="s">
        <v>1187</v>
      </c>
      <c r="BP5" s="1" t="s">
        <v>1211</v>
      </c>
      <c r="BQ5" s="1" t="s">
        <v>1220</v>
      </c>
      <c r="BR5" s="1" t="s">
        <v>1290</v>
      </c>
      <c r="BS5" s="1" t="s">
        <v>1274</v>
      </c>
      <c r="BT5" s="1" t="s">
        <v>1259</v>
      </c>
      <c r="BU5" s="1" t="s">
        <v>1154</v>
      </c>
      <c r="BV5" s="1" t="s">
        <v>1220</v>
      </c>
      <c r="BW5" s="1" t="s">
        <v>1282</v>
      </c>
      <c r="BX5" s="1" t="s">
        <v>1259</v>
      </c>
      <c r="BY5" s="1" t="s">
        <v>1307</v>
      </c>
      <c r="BZ5" s="1" t="s">
        <v>1311</v>
      </c>
      <c r="CA5" s="1" t="s">
        <v>1313</v>
      </c>
      <c r="CB5" s="1" t="s">
        <v>1315</v>
      </c>
      <c r="CC5" s="1" t="s">
        <v>1315</v>
      </c>
      <c r="CD5" s="1" t="s">
        <v>1319</v>
      </c>
      <c r="CE5" s="1" t="s">
        <v>1322</v>
      </c>
      <c r="CF5" s="1" t="s">
        <v>1223</v>
      </c>
      <c r="CG5" s="1" t="s">
        <v>1292</v>
      </c>
      <c r="CH5" s="1" t="s">
        <v>1213</v>
      </c>
      <c r="CI5" s="1" t="s">
        <v>1218</v>
      </c>
      <c r="CJ5" s="1" t="s">
        <v>1152</v>
      </c>
      <c r="CK5" s="1" t="s">
        <v>1217</v>
      </c>
      <c r="CL5" s="1" t="s">
        <v>1348</v>
      </c>
      <c r="CM5" s="1" t="s">
        <v>1501</v>
      </c>
      <c r="CN5" s="1" t="s">
        <v>1157</v>
      </c>
      <c r="CO5" s="1" t="s">
        <v>1353</v>
      </c>
      <c r="CP5" s="1" t="s">
        <v>1273</v>
      </c>
      <c r="CQ5" s="1" t="s">
        <v>1145</v>
      </c>
      <c r="CR5" s="1" t="s">
        <v>1480</v>
      </c>
      <c r="CS5" s="1" t="s">
        <v>225</v>
      </c>
      <c r="CT5" s="1" t="s">
        <v>1249</v>
      </c>
      <c r="CU5" s="1" t="s">
        <v>1496</v>
      </c>
      <c r="CV5" s="1" t="s">
        <v>1143</v>
      </c>
      <c r="CW5" s="1" t="s">
        <v>1154</v>
      </c>
      <c r="CX5" s="1" t="s">
        <v>1359</v>
      </c>
      <c r="CY5" s="1" t="s">
        <v>1359</v>
      </c>
      <c r="CZ5" s="1" t="s">
        <v>1193</v>
      </c>
      <c r="DA5" s="1" t="s">
        <v>1365</v>
      </c>
      <c r="DC5" s="1" t="s">
        <v>1143</v>
      </c>
      <c r="DE5" s="1" t="s">
        <v>1188</v>
      </c>
      <c r="DF5" s="1" t="s">
        <v>1376</v>
      </c>
      <c r="DG5" s="1" t="s">
        <v>1377</v>
      </c>
      <c r="DH5" s="1" t="s">
        <v>1303</v>
      </c>
      <c r="DI5" s="1" t="s">
        <v>1162</v>
      </c>
      <c r="DJ5" s="1" t="s">
        <v>1160</v>
      </c>
      <c r="DK5" s="1" t="s">
        <v>1239</v>
      </c>
      <c r="DL5" s="1" t="s">
        <v>1230</v>
      </c>
      <c r="DM5" s="1" t="s">
        <v>1257</v>
      </c>
      <c r="DN5" s="1" t="s">
        <v>1397</v>
      </c>
      <c r="DO5" s="1" t="s">
        <v>1409</v>
      </c>
      <c r="DP5" s="1" t="s">
        <v>1417</v>
      </c>
      <c r="DQ5" s="1" t="s">
        <v>1408</v>
      </c>
      <c r="DR5" s="1" t="s">
        <v>1349</v>
      </c>
      <c r="DS5" s="1" t="s">
        <v>1423</v>
      </c>
      <c r="DT5" s="1" t="s">
        <v>1175</v>
      </c>
      <c r="DU5" s="1" t="s">
        <v>1220</v>
      </c>
      <c r="DV5" s="1" t="s">
        <v>1497</v>
      </c>
      <c r="DW5" s="1" t="s">
        <v>1237</v>
      </c>
      <c r="DX5" s="1" t="s">
        <v>1220</v>
      </c>
      <c r="DZ5" s="1" t="s">
        <v>1430</v>
      </c>
      <c r="EA5" s="1" t="s">
        <v>1189</v>
      </c>
      <c r="EB5" s="1" t="s">
        <v>1432</v>
      </c>
      <c r="EC5" s="1" t="s">
        <v>1144</v>
      </c>
      <c r="ED5" s="1" t="s">
        <v>1241</v>
      </c>
      <c r="EE5" s="1" t="s">
        <v>1420</v>
      </c>
      <c r="EG5" s="1" t="s">
        <v>1150</v>
      </c>
      <c r="EH5" s="1" t="s">
        <v>1143</v>
      </c>
      <c r="EI5" s="1" t="s">
        <v>1209</v>
      </c>
      <c r="EJ5" s="1" t="s">
        <v>1507</v>
      </c>
      <c r="EK5" s="1" t="s">
        <v>1501</v>
      </c>
      <c r="EL5" s="1" t="s">
        <v>1507</v>
      </c>
      <c r="EM5" s="1" t="s">
        <v>1451</v>
      </c>
      <c r="EN5" s="1" t="s">
        <v>1166</v>
      </c>
      <c r="EO5" s="1" t="s">
        <v>1440</v>
      </c>
      <c r="EP5" s="1" t="s">
        <v>1456</v>
      </c>
      <c r="EQ5" s="1" t="s">
        <v>1416</v>
      </c>
      <c r="ER5" s="1" t="s">
        <v>1501</v>
      </c>
      <c r="ES5" s="1" t="s">
        <v>1460</v>
      </c>
      <c r="ET5" s="1" t="s">
        <v>1369</v>
      </c>
      <c r="EU5" s="1" t="s">
        <v>1497</v>
      </c>
      <c r="EV5" s="1" t="s">
        <v>1161</v>
      </c>
      <c r="EW5" s="1" t="s">
        <v>1157</v>
      </c>
      <c r="EX5" s="1" t="s">
        <v>1275</v>
      </c>
      <c r="EY5" s="1" t="s">
        <v>1507</v>
      </c>
      <c r="EZ5" s="1" t="s">
        <v>1167</v>
      </c>
      <c r="FA5" s="1" t="s">
        <v>1155</v>
      </c>
      <c r="FB5" s="1" t="s">
        <v>1353</v>
      </c>
      <c r="FC5" s="1" t="s">
        <v>1282</v>
      </c>
      <c r="FD5" s="1" t="s">
        <v>1269</v>
      </c>
    </row>
    <row r="6" spans="1:160">
      <c r="A6" s="1" t="s">
        <v>1489</v>
      </c>
      <c r="B6" s="1" t="s">
        <v>1492</v>
      </c>
      <c r="C6" s="1" t="s">
        <v>1155</v>
      </c>
      <c r="D6" s="1" t="s">
        <v>1142</v>
      </c>
      <c r="E6" s="1" t="s">
        <v>1143</v>
      </c>
      <c r="F6" s="1" t="s">
        <v>1166</v>
      </c>
      <c r="G6" s="1" t="s">
        <v>1173</v>
      </c>
      <c r="H6" s="1" t="s">
        <v>1167</v>
      </c>
      <c r="I6" s="1" t="s">
        <v>1489</v>
      </c>
      <c r="J6" s="1" t="s">
        <v>1161</v>
      </c>
      <c r="K6" s="1" t="s">
        <v>1161</v>
      </c>
      <c r="L6" s="1" t="s">
        <v>1187</v>
      </c>
      <c r="M6" s="1" t="s">
        <v>1189</v>
      </c>
      <c r="N6" s="1" t="s">
        <v>1195</v>
      </c>
      <c r="P6" s="1" t="s">
        <v>1189</v>
      </c>
      <c r="Q6" s="1" t="s">
        <v>1199</v>
      </c>
      <c r="R6" s="1" t="s">
        <v>1202</v>
      </c>
      <c r="S6" s="1" t="s">
        <v>1495</v>
      </c>
      <c r="T6" s="1" t="s">
        <v>1190</v>
      </c>
      <c r="U6" s="1" t="s">
        <v>1496</v>
      </c>
      <c r="V6" s="1" t="s">
        <v>1210</v>
      </c>
      <c r="W6" s="1" t="s">
        <v>1489</v>
      </c>
      <c r="X6" s="1" t="s">
        <v>1211</v>
      </c>
      <c r="Y6" s="1" t="s">
        <v>1507</v>
      </c>
      <c r="Z6" s="1" t="s">
        <v>1497</v>
      </c>
      <c r="AA6" s="1" t="s">
        <v>1489</v>
      </c>
      <c r="AB6" s="1" t="s">
        <v>1215</v>
      </c>
      <c r="AC6" s="1" t="s">
        <v>1217</v>
      </c>
      <c r="AD6" s="1" t="s">
        <v>1222</v>
      </c>
      <c r="AE6" s="1" t="s">
        <v>1223</v>
      </c>
      <c r="AF6" s="1" t="s">
        <v>1192</v>
      </c>
      <c r="AG6" s="1" t="s">
        <v>1229</v>
      </c>
      <c r="AH6" s="1" t="s">
        <v>1238</v>
      </c>
      <c r="AI6" s="1" t="s">
        <v>1491</v>
      </c>
      <c r="AJ6" s="1" t="s">
        <v>1241</v>
      </c>
      <c r="AL6" s="1" t="s">
        <v>1247</v>
      </c>
      <c r="AM6" s="1" t="s">
        <v>1489</v>
      </c>
      <c r="AN6" s="1" t="s">
        <v>1213</v>
      </c>
      <c r="AO6" s="1" t="s">
        <v>1201</v>
      </c>
      <c r="AP6" s="1" t="s">
        <v>1213</v>
      </c>
      <c r="AQ6" s="1" t="s">
        <v>1254</v>
      </c>
      <c r="AR6" s="1" t="s">
        <v>1258</v>
      </c>
      <c r="AS6" s="1" t="s">
        <v>1260</v>
      </c>
      <c r="AT6" s="1" t="s">
        <v>1262</v>
      </c>
      <c r="AV6" s="1" t="s">
        <v>1267</v>
      </c>
      <c r="AW6" s="1" t="s">
        <v>1489</v>
      </c>
      <c r="AX6" s="1" t="s">
        <v>1495</v>
      </c>
      <c r="AY6" s="1" t="s">
        <v>1496</v>
      </c>
      <c r="AZ6" s="1" t="s">
        <v>1492</v>
      </c>
      <c r="BB6" s="1" t="s">
        <v>1143</v>
      </c>
      <c r="BC6" s="1" t="s">
        <v>1274</v>
      </c>
      <c r="BD6" s="1" t="s">
        <v>1495</v>
      </c>
      <c r="BE6" s="1" t="s">
        <v>1489</v>
      </c>
      <c r="BF6" s="1" t="s">
        <v>1189</v>
      </c>
      <c r="BG6" s="1" t="s">
        <v>1167</v>
      </c>
      <c r="BH6" s="1" t="s">
        <v>1489</v>
      </c>
      <c r="BI6" s="1" t="s">
        <v>1279</v>
      </c>
      <c r="BJ6" s="1" t="s">
        <v>1178</v>
      </c>
      <c r="BM6" s="1" t="s">
        <v>1503</v>
      </c>
      <c r="BO6" s="1" t="s">
        <v>1284</v>
      </c>
      <c r="BP6" s="1" t="s">
        <v>1507</v>
      </c>
      <c r="BQ6" s="1" t="s">
        <v>1288</v>
      </c>
      <c r="BR6" s="1" t="s">
        <v>1282</v>
      </c>
      <c r="BS6" s="1" t="s">
        <v>1291</v>
      </c>
      <c r="BT6" s="1" t="s">
        <v>1223</v>
      </c>
      <c r="BU6" s="1" t="s">
        <v>1220</v>
      </c>
      <c r="BV6" s="1" t="s">
        <v>1301</v>
      </c>
      <c r="BW6" s="1" t="s">
        <v>1304</v>
      </c>
      <c r="BX6" s="1" t="s">
        <v>1290</v>
      </c>
      <c r="BY6" s="1" t="s">
        <v>1265</v>
      </c>
      <c r="CA6" s="1" t="s">
        <v>1249</v>
      </c>
      <c r="CB6" s="1" t="s">
        <v>1187</v>
      </c>
      <c r="CC6" s="1" t="s">
        <v>1317</v>
      </c>
      <c r="CD6" s="1" t="s">
        <v>1321</v>
      </c>
      <c r="CE6" s="1" t="s">
        <v>1325</v>
      </c>
      <c r="CF6" s="1" t="s">
        <v>1332</v>
      </c>
      <c r="CG6" s="1" t="s">
        <v>1334</v>
      </c>
      <c r="CH6" s="1" t="s">
        <v>1503</v>
      </c>
      <c r="CI6" s="1" t="s">
        <v>1159</v>
      </c>
      <c r="CJ6" s="1" t="s">
        <v>1501</v>
      </c>
      <c r="CK6" s="1" t="s">
        <v>1347</v>
      </c>
      <c r="CL6" s="1" t="s">
        <v>1152</v>
      </c>
      <c r="CM6" s="1" t="s">
        <v>1497</v>
      </c>
      <c r="CN6" s="1" t="s">
        <v>1166</v>
      </c>
      <c r="CO6" s="1" t="s">
        <v>1187</v>
      </c>
      <c r="CP6" s="1" t="s">
        <v>1301</v>
      </c>
      <c r="CQ6" s="1" t="s">
        <v>1152</v>
      </c>
      <c r="CS6" s="1" t="s">
        <v>1180</v>
      </c>
      <c r="CT6" s="1" t="s">
        <v>1142</v>
      </c>
      <c r="CU6" s="1" t="s">
        <v>1492</v>
      </c>
      <c r="CV6" s="1" t="s">
        <v>1189</v>
      </c>
      <c r="CW6" s="1" t="s">
        <v>1201</v>
      </c>
      <c r="CX6" s="1" t="s">
        <v>1361</v>
      </c>
      <c r="CY6" s="1" t="s">
        <v>1362</v>
      </c>
      <c r="CZ6" s="1" t="s">
        <v>1220</v>
      </c>
      <c r="DA6" s="1" t="s">
        <v>1152</v>
      </c>
      <c r="DC6" s="1" t="s">
        <v>1258</v>
      </c>
      <c r="DE6" s="1" t="s">
        <v>1316</v>
      </c>
      <c r="DF6" s="1" t="s">
        <v>1373</v>
      </c>
      <c r="DG6" s="1" t="s">
        <v>1378</v>
      </c>
      <c r="DH6" s="1" t="s">
        <v>1380</v>
      </c>
      <c r="DI6" s="1" t="s">
        <v>1149</v>
      </c>
      <c r="DJ6" s="1" t="s">
        <v>1154</v>
      </c>
      <c r="DK6" s="1" t="s">
        <v>1361</v>
      </c>
      <c r="DL6" s="1" t="s">
        <v>1391</v>
      </c>
      <c r="DM6" s="1" t="s">
        <v>1173</v>
      </c>
      <c r="DN6" s="1" t="s">
        <v>1400</v>
      </c>
      <c r="DO6" s="1" t="s">
        <v>1405</v>
      </c>
      <c r="DP6" s="1" t="s">
        <v>1412</v>
      </c>
      <c r="DQ6" s="1" t="s">
        <v>1403</v>
      </c>
      <c r="DR6" s="1" t="s">
        <v>1180</v>
      </c>
      <c r="DS6" s="1" t="s">
        <v>1420</v>
      </c>
      <c r="DT6" s="1" t="s">
        <v>1425</v>
      </c>
      <c r="DV6" s="1" t="s">
        <v>1496</v>
      </c>
      <c r="DW6" s="1" t="s">
        <v>1426</v>
      </c>
      <c r="DX6" s="1" t="s">
        <v>1258</v>
      </c>
      <c r="DZ6" s="1" t="s">
        <v>1190</v>
      </c>
      <c r="EB6" s="1" t="s">
        <v>1241</v>
      </c>
      <c r="EC6" s="1" t="s">
        <v>1272</v>
      </c>
      <c r="ED6" s="1" t="s">
        <v>1438</v>
      </c>
      <c r="EE6" s="1" t="s">
        <v>1440</v>
      </c>
      <c r="EH6" s="1" t="s">
        <v>1507</v>
      </c>
      <c r="EI6" s="1" t="s">
        <v>1287</v>
      </c>
      <c r="EJ6" s="1" t="s">
        <v>1495</v>
      </c>
      <c r="EK6" s="1" t="s">
        <v>1489</v>
      </c>
      <c r="EL6" s="1" t="s">
        <v>1501</v>
      </c>
      <c r="EM6" s="1" t="s">
        <v>1190</v>
      </c>
      <c r="EN6" s="1" t="s">
        <v>1243</v>
      </c>
      <c r="EO6" s="1" t="s">
        <v>1455</v>
      </c>
      <c r="EP6" s="1" t="s">
        <v>1149</v>
      </c>
      <c r="EQ6" s="1" t="s">
        <v>1458</v>
      </c>
      <c r="ER6" s="1" t="s">
        <v>1497</v>
      </c>
      <c r="ES6" s="1" t="s">
        <v>1501</v>
      </c>
      <c r="ET6" s="1" t="s">
        <v>1475</v>
      </c>
      <c r="EV6" s="1" t="s">
        <v>1462</v>
      </c>
      <c r="EW6" s="1" t="s">
        <v>1501</v>
      </c>
      <c r="EY6" s="1" t="s">
        <v>1501</v>
      </c>
      <c r="EZ6" s="1" t="s">
        <v>1464</v>
      </c>
      <c r="FA6" s="1" t="s">
        <v>1213</v>
      </c>
      <c r="FB6" s="1" t="s">
        <v>1482</v>
      </c>
      <c r="FC6" s="1" t="s">
        <v>1280</v>
      </c>
      <c r="FD6" s="1" t="s">
        <v>1213</v>
      </c>
    </row>
    <row r="7" spans="1:160">
      <c r="B7" s="1" t="s">
        <v>1489</v>
      </c>
      <c r="C7" s="1" t="s">
        <v>1149</v>
      </c>
      <c r="D7" s="1" t="s">
        <v>1143</v>
      </c>
      <c r="E7" s="1" t="s">
        <v>1495</v>
      </c>
      <c r="F7" s="1" t="s">
        <v>1164</v>
      </c>
      <c r="G7" s="1" t="s">
        <v>1167</v>
      </c>
      <c r="H7" s="1" t="s">
        <v>1176</v>
      </c>
      <c r="J7" s="1" t="s">
        <v>1155</v>
      </c>
      <c r="K7" s="1" t="s">
        <v>1182</v>
      </c>
      <c r="L7" s="1" t="s">
        <v>1161</v>
      </c>
      <c r="N7" s="1" t="s">
        <v>1189</v>
      </c>
      <c r="P7" s="1" t="s">
        <v>1503</v>
      </c>
      <c r="Q7" s="1" t="s">
        <v>1190</v>
      </c>
      <c r="R7" s="1" t="s">
        <v>1201</v>
      </c>
      <c r="T7" s="1" t="s">
        <v>1189</v>
      </c>
      <c r="U7" s="1" t="s">
        <v>1495</v>
      </c>
      <c r="V7" s="1" t="s">
        <v>1155</v>
      </c>
      <c r="X7" s="1" t="s">
        <v>1507</v>
      </c>
      <c r="Z7" s="1" t="s">
        <v>1496</v>
      </c>
      <c r="AB7" s="1" t="s">
        <v>1497</v>
      </c>
      <c r="AC7" s="1" t="s">
        <v>1154</v>
      </c>
      <c r="AF7" s="1" t="s">
        <v>1167</v>
      </c>
      <c r="AG7" s="1" t="s">
        <v>1167</v>
      </c>
      <c r="AH7" s="1" t="s">
        <v>1239</v>
      </c>
      <c r="AJ7" s="1" t="s">
        <v>1242</v>
      </c>
      <c r="AN7" s="1" t="s">
        <v>1504</v>
      </c>
      <c r="AO7" s="1" t="s">
        <v>1220</v>
      </c>
      <c r="AP7" s="1" t="s">
        <v>1253</v>
      </c>
      <c r="AR7" s="1" t="s">
        <v>1256</v>
      </c>
      <c r="AS7" s="1" t="s">
        <v>1213</v>
      </c>
      <c r="AV7" s="1" t="s">
        <v>1265</v>
      </c>
      <c r="AX7" s="1" t="s">
        <v>1492</v>
      </c>
      <c r="BB7" s="1" t="s">
        <v>1503</v>
      </c>
      <c r="BC7" s="1" t="s">
        <v>1276</v>
      </c>
      <c r="BD7" s="1" t="s">
        <v>1492</v>
      </c>
      <c r="BF7" s="1" t="s">
        <v>1178</v>
      </c>
      <c r="BG7" s="1" t="s">
        <v>1161</v>
      </c>
      <c r="BI7" s="1" t="s">
        <v>1161</v>
      </c>
      <c r="BJ7" s="1" t="s">
        <v>1507</v>
      </c>
      <c r="BO7" s="1" t="s">
        <v>1260</v>
      </c>
      <c r="BP7" s="1" t="s">
        <v>1503</v>
      </c>
      <c r="BQ7" s="1" t="s">
        <v>1143</v>
      </c>
      <c r="BR7" s="1" t="s">
        <v>1258</v>
      </c>
      <c r="BS7" s="1" t="s">
        <v>1295</v>
      </c>
      <c r="BT7" s="1" t="s">
        <v>1297</v>
      </c>
      <c r="BU7" s="1" t="s">
        <v>1161</v>
      </c>
      <c r="BV7" s="1" t="s">
        <v>1300</v>
      </c>
      <c r="BW7" s="1" t="s">
        <v>1143</v>
      </c>
      <c r="BX7" s="1" t="s">
        <v>1282</v>
      </c>
      <c r="BY7" s="1" t="s">
        <v>1290</v>
      </c>
      <c r="CA7" s="1" t="s">
        <v>1312</v>
      </c>
      <c r="CB7" s="1" t="s">
        <v>1316</v>
      </c>
      <c r="CC7" s="1" t="s">
        <v>1495</v>
      </c>
      <c r="CD7" s="1" t="s">
        <v>1320</v>
      </c>
      <c r="CE7" s="1" t="s">
        <v>1324</v>
      </c>
      <c r="CF7" s="1" t="s">
        <v>1330</v>
      </c>
      <c r="CG7" s="1" t="s">
        <v>1335</v>
      </c>
      <c r="CH7" s="1" t="s">
        <v>1489</v>
      </c>
      <c r="CI7" s="1" t="s">
        <v>1337</v>
      </c>
      <c r="CJ7" s="1" t="s">
        <v>1489</v>
      </c>
      <c r="CK7" s="1" t="s">
        <v>1344</v>
      </c>
      <c r="CL7" s="1" t="s">
        <v>1150</v>
      </c>
      <c r="CM7" s="1" t="s">
        <v>1492</v>
      </c>
      <c r="CN7" s="1" t="s">
        <v>1350</v>
      </c>
      <c r="CO7" s="1" t="s">
        <v>1354</v>
      </c>
      <c r="CP7" s="1" t="s">
        <v>1343</v>
      </c>
      <c r="CQ7" s="1" t="s">
        <v>1166</v>
      </c>
      <c r="CS7" s="1" t="s">
        <v>1190</v>
      </c>
      <c r="CT7" s="1" t="s">
        <v>1312</v>
      </c>
      <c r="CU7" s="1" t="s">
        <v>1489</v>
      </c>
      <c r="CV7" s="1" t="s">
        <v>1489</v>
      </c>
      <c r="CW7" s="1" t="s">
        <v>1161</v>
      </c>
      <c r="CX7" s="1" t="s">
        <v>1152</v>
      </c>
      <c r="CY7" s="1" t="s">
        <v>1189</v>
      </c>
      <c r="CZ7" s="1" t="s">
        <v>1143</v>
      </c>
      <c r="DA7" s="1" t="s">
        <v>1489</v>
      </c>
      <c r="DC7" s="1" t="s">
        <v>1368</v>
      </c>
      <c r="DE7" s="1" t="s">
        <v>1370</v>
      </c>
      <c r="DF7" s="1" t="s">
        <v>1374</v>
      </c>
      <c r="DH7" s="1" t="s">
        <v>1287</v>
      </c>
      <c r="DI7" s="1" t="s">
        <v>1152</v>
      </c>
      <c r="DJ7" s="1" t="s">
        <v>1382</v>
      </c>
      <c r="DK7" s="1" t="s">
        <v>1387</v>
      </c>
      <c r="DM7" s="1" t="s">
        <v>1241</v>
      </c>
      <c r="DN7" s="1" t="s">
        <v>1403</v>
      </c>
      <c r="DO7" s="1" t="s">
        <v>1407</v>
      </c>
      <c r="DP7" s="1" t="s">
        <v>1414</v>
      </c>
      <c r="DQ7" s="1" t="s">
        <v>1220</v>
      </c>
      <c r="DR7" s="1" t="s">
        <v>1283</v>
      </c>
      <c r="DS7" s="1" t="s">
        <v>1302</v>
      </c>
      <c r="DT7" s="1" t="s">
        <v>1216</v>
      </c>
      <c r="DV7" s="1" t="s">
        <v>1495</v>
      </c>
      <c r="DW7" s="1" t="s">
        <v>1322</v>
      </c>
      <c r="DX7" s="1" t="s">
        <v>1231</v>
      </c>
      <c r="DZ7" s="1" t="s">
        <v>1427</v>
      </c>
      <c r="EB7" s="1" t="s">
        <v>1209</v>
      </c>
      <c r="EC7" s="1" t="s">
        <v>1209</v>
      </c>
      <c r="ED7" s="1" t="s">
        <v>1167</v>
      </c>
      <c r="EE7" s="1" t="s">
        <v>1448</v>
      </c>
      <c r="EH7" s="1" t="s">
        <v>1501</v>
      </c>
      <c r="EI7" s="1" t="s">
        <v>1501</v>
      </c>
      <c r="EJ7" s="1" t="s">
        <v>1500</v>
      </c>
      <c r="EL7" s="1" t="s">
        <v>1492</v>
      </c>
      <c r="EM7" s="1" t="s">
        <v>1157</v>
      </c>
      <c r="EN7" s="1" t="s">
        <v>1508</v>
      </c>
      <c r="EO7" s="1" t="s">
        <v>1501</v>
      </c>
      <c r="EP7" s="1" t="s">
        <v>1182</v>
      </c>
      <c r="EQ7" s="1" t="s">
        <v>1382</v>
      </c>
      <c r="ER7" s="1" t="s">
        <v>1492</v>
      </c>
      <c r="ES7" s="1" t="s">
        <v>1497</v>
      </c>
      <c r="ET7" s="1" t="s">
        <v>1166</v>
      </c>
      <c r="EV7" s="1" t="s">
        <v>1231</v>
      </c>
      <c r="EW7" s="1" t="s">
        <v>1489</v>
      </c>
      <c r="EY7" s="1" t="s">
        <v>1497</v>
      </c>
      <c r="EZ7" s="1" t="s">
        <v>1166</v>
      </c>
      <c r="FA7" s="1" t="s">
        <v>1189</v>
      </c>
      <c r="FB7" s="1" t="s">
        <v>1213</v>
      </c>
      <c r="FC7" s="1" t="s">
        <v>1187</v>
      </c>
      <c r="FD7" s="1" t="s">
        <v>1223</v>
      </c>
    </row>
    <row r="8" spans="1:160">
      <c r="C8" s="1" t="s">
        <v>1152</v>
      </c>
      <c r="D8" s="1" t="s">
        <v>1157</v>
      </c>
      <c r="E8" s="1" t="s">
        <v>1492</v>
      </c>
      <c r="F8" s="1" t="s">
        <v>1165</v>
      </c>
      <c r="G8" s="1" t="s">
        <v>1161</v>
      </c>
      <c r="H8" s="1" t="s">
        <v>1161</v>
      </c>
      <c r="J8" s="1" t="s">
        <v>1179</v>
      </c>
      <c r="K8" s="1" t="s">
        <v>1152</v>
      </c>
      <c r="L8" s="1" t="s">
        <v>1188</v>
      </c>
      <c r="P8" s="1" t="s">
        <v>1496</v>
      </c>
      <c r="Q8" s="1" t="s">
        <v>1200</v>
      </c>
      <c r="R8" s="1" t="s">
        <v>1503</v>
      </c>
      <c r="T8" s="1" t="s">
        <v>1503</v>
      </c>
      <c r="U8" s="1" t="s">
        <v>1492</v>
      </c>
      <c r="V8" s="1" t="s">
        <v>1209</v>
      </c>
      <c r="X8" s="1" t="s">
        <v>1503</v>
      </c>
      <c r="Z8" s="1" t="s">
        <v>1495</v>
      </c>
      <c r="AB8" s="1" t="s">
        <v>1496</v>
      </c>
      <c r="AC8" s="1" t="s">
        <v>1220</v>
      </c>
      <c r="AF8" s="1" t="s">
        <v>1155</v>
      </c>
      <c r="AG8" s="1" t="s">
        <v>1161</v>
      </c>
      <c r="AH8" s="1" t="s">
        <v>1484</v>
      </c>
      <c r="AJ8" s="1" t="s">
        <v>1155</v>
      </c>
      <c r="AP8" s="1" t="s">
        <v>1189</v>
      </c>
      <c r="AS8" s="1" t="s">
        <v>1223</v>
      </c>
      <c r="AV8" s="1" t="s">
        <v>1220</v>
      </c>
      <c r="AX8" s="1" t="s">
        <v>1489</v>
      </c>
      <c r="BB8" s="1" t="s">
        <v>1495</v>
      </c>
      <c r="BC8" s="1" t="s">
        <v>1275</v>
      </c>
      <c r="BF8" s="1" t="s">
        <v>1497</v>
      </c>
      <c r="BG8" s="1" t="s">
        <v>1162</v>
      </c>
      <c r="BI8" s="1" t="s">
        <v>1281</v>
      </c>
      <c r="BJ8" s="1" t="s">
        <v>1503</v>
      </c>
      <c r="BO8" s="1" t="s">
        <v>1507</v>
      </c>
      <c r="BP8" s="1" t="s">
        <v>1501</v>
      </c>
      <c r="BQ8" s="1" t="s">
        <v>1287</v>
      </c>
      <c r="BR8" s="1" t="s">
        <v>1501</v>
      </c>
      <c r="BS8" s="1" t="s">
        <v>1293</v>
      </c>
      <c r="BT8" s="1" t="s">
        <v>1200</v>
      </c>
      <c r="BU8" s="1" t="s">
        <v>1231</v>
      </c>
      <c r="BV8" s="1" t="s">
        <v>1503</v>
      </c>
      <c r="BW8" s="1" t="s">
        <v>1303</v>
      </c>
      <c r="BX8" s="1" t="s">
        <v>1273</v>
      </c>
      <c r="BY8" s="1" t="s">
        <v>1202</v>
      </c>
      <c r="CA8" s="1" t="s">
        <v>1161</v>
      </c>
      <c r="CB8" s="1" t="s">
        <v>1211</v>
      </c>
      <c r="CC8" s="1" t="s">
        <v>1492</v>
      </c>
      <c r="CD8" s="1" t="s">
        <v>1309</v>
      </c>
      <c r="CE8" s="1" t="s">
        <v>1327</v>
      </c>
      <c r="CF8" s="1" t="s">
        <v>1211</v>
      </c>
      <c r="CI8" s="1" t="s">
        <v>1285</v>
      </c>
      <c r="CK8" s="1" t="s">
        <v>1238</v>
      </c>
      <c r="CN8" s="1" t="s">
        <v>1501</v>
      </c>
      <c r="CO8" s="1" t="s">
        <v>1300</v>
      </c>
      <c r="CP8" s="1" t="s">
        <v>1503</v>
      </c>
      <c r="CQ8" s="1" t="s">
        <v>1178</v>
      </c>
      <c r="CS8" s="1" t="s">
        <v>1503</v>
      </c>
      <c r="CT8" s="1" t="s">
        <v>1155</v>
      </c>
      <c r="CW8" s="1" t="s">
        <v>1359</v>
      </c>
      <c r="CX8" s="1" t="s">
        <v>1232</v>
      </c>
      <c r="CY8" s="1" t="s">
        <v>1178</v>
      </c>
      <c r="CZ8" s="1" t="s">
        <v>1152</v>
      </c>
      <c r="DC8" s="1" t="s">
        <v>1501</v>
      </c>
      <c r="DE8" s="1" t="s">
        <v>1369</v>
      </c>
      <c r="DF8" s="1" t="s">
        <v>1241</v>
      </c>
      <c r="DH8" s="1" t="s">
        <v>1507</v>
      </c>
      <c r="DI8" s="1" t="s">
        <v>1381</v>
      </c>
      <c r="DJ8" s="1" t="s">
        <v>1155</v>
      </c>
      <c r="DK8" s="1" t="s">
        <v>1388</v>
      </c>
      <c r="DM8" s="1" t="s">
        <v>1394</v>
      </c>
      <c r="DN8" s="1" t="s">
        <v>1396</v>
      </c>
      <c r="DO8" s="1" t="s">
        <v>1410</v>
      </c>
      <c r="DP8" s="1" t="s">
        <v>1277</v>
      </c>
      <c r="DQ8" s="1" t="s">
        <v>1288</v>
      </c>
      <c r="DR8" s="1" t="s">
        <v>1161</v>
      </c>
      <c r="DS8" s="1" t="s">
        <v>1175</v>
      </c>
      <c r="DT8" s="1" t="s">
        <v>1424</v>
      </c>
      <c r="DV8" s="1" t="s">
        <v>1489</v>
      </c>
      <c r="DW8" s="1" t="s">
        <v>1282</v>
      </c>
      <c r="DX8" s="1" t="s">
        <v>1169</v>
      </c>
      <c r="DZ8" s="1" t="s">
        <v>1166</v>
      </c>
      <c r="EB8" s="1" t="s">
        <v>1435</v>
      </c>
      <c r="EC8" s="1" t="s">
        <v>1190</v>
      </c>
      <c r="ED8" s="1" t="s">
        <v>1430</v>
      </c>
      <c r="EE8" s="1" t="s">
        <v>1447</v>
      </c>
      <c r="EJ8" s="1" t="s">
        <v>1489</v>
      </c>
      <c r="EM8" s="1" t="s">
        <v>1453</v>
      </c>
      <c r="EN8" s="1" t="s">
        <v>1178</v>
      </c>
      <c r="EO8" s="1" t="s">
        <v>1489</v>
      </c>
      <c r="EP8" s="1" t="s">
        <v>1152</v>
      </c>
      <c r="EQ8" s="1" t="s">
        <v>1201</v>
      </c>
      <c r="ER8" s="1" t="s">
        <v>1489</v>
      </c>
      <c r="ES8" s="1" t="s">
        <v>1495</v>
      </c>
      <c r="ET8" s="1" t="s">
        <v>1460</v>
      </c>
      <c r="EV8" s="1" t="s">
        <v>1501</v>
      </c>
      <c r="EY8" s="1" t="s">
        <v>1495</v>
      </c>
      <c r="EZ8" s="1" t="s">
        <v>1501</v>
      </c>
      <c r="FA8" s="1" t="s">
        <v>1466</v>
      </c>
      <c r="FB8" s="1" t="s">
        <v>1223</v>
      </c>
      <c r="FC8" s="1" t="s">
        <v>1468</v>
      </c>
      <c r="FD8" s="1" t="s">
        <v>1143</v>
      </c>
    </row>
    <row r="9" spans="1:160">
      <c r="C9" s="1" t="s">
        <v>1150</v>
      </c>
      <c r="D9" s="1" t="s">
        <v>1497</v>
      </c>
      <c r="E9" s="1" t="s">
        <v>1489</v>
      </c>
      <c r="F9" s="1" t="s">
        <v>1489</v>
      </c>
      <c r="G9" s="1" t="s">
        <v>1171</v>
      </c>
      <c r="H9" s="1" t="s">
        <v>1169</v>
      </c>
      <c r="J9" s="1" t="s">
        <v>1178</v>
      </c>
      <c r="K9" s="1" t="s">
        <v>1178</v>
      </c>
      <c r="L9" s="1" t="s">
        <v>1186</v>
      </c>
      <c r="P9" s="1" t="s">
        <v>1489</v>
      </c>
      <c r="Q9" s="1" t="s">
        <v>1189</v>
      </c>
      <c r="T9" s="1" t="s">
        <v>1496</v>
      </c>
      <c r="U9" s="1" t="s">
        <v>1489</v>
      </c>
      <c r="V9" s="1" t="s">
        <v>1166</v>
      </c>
      <c r="X9" s="1" t="s">
        <v>1501</v>
      </c>
      <c r="Z9" s="1" t="s">
        <v>1489</v>
      </c>
      <c r="AB9" s="1" t="s">
        <v>1489</v>
      </c>
      <c r="AC9" s="1" t="s">
        <v>1167</v>
      </c>
      <c r="AF9" s="1" t="s">
        <v>1189</v>
      </c>
      <c r="AG9" s="1" t="s">
        <v>1230</v>
      </c>
      <c r="AH9" s="1" t="s">
        <v>1240</v>
      </c>
      <c r="AJ9" s="1" t="s">
        <v>1243</v>
      </c>
      <c r="AP9" s="1" t="s">
        <v>1252</v>
      </c>
      <c r="AS9" s="1" t="s">
        <v>1503</v>
      </c>
      <c r="AV9" s="1" t="s">
        <v>1215</v>
      </c>
      <c r="BB9" s="1" t="s">
        <v>1489</v>
      </c>
      <c r="BC9" s="1" t="s">
        <v>1489</v>
      </c>
      <c r="BF9" s="1" t="s">
        <v>1495</v>
      </c>
      <c r="BG9" s="1" t="s">
        <v>1155</v>
      </c>
      <c r="BI9" s="1" t="s">
        <v>1507</v>
      </c>
      <c r="BJ9" s="1" t="s">
        <v>1496</v>
      </c>
      <c r="BO9" s="1" t="s">
        <v>1503</v>
      </c>
      <c r="BP9" s="1" t="s">
        <v>1496</v>
      </c>
      <c r="BQ9" s="1" t="s">
        <v>1496</v>
      </c>
      <c r="BS9" s="1" t="s">
        <v>1294</v>
      </c>
      <c r="BU9" s="1" t="s">
        <v>1299</v>
      </c>
      <c r="BW9" s="1" t="s">
        <v>1258</v>
      </c>
      <c r="BX9" s="1" t="s">
        <v>1274</v>
      </c>
      <c r="BY9" s="1" t="s">
        <v>1304</v>
      </c>
      <c r="CA9" s="1" t="s">
        <v>1231</v>
      </c>
      <c r="CB9" s="1" t="s">
        <v>1507</v>
      </c>
      <c r="CD9" s="1" t="s">
        <v>1503</v>
      </c>
      <c r="CE9" s="1" t="s">
        <v>1326</v>
      </c>
      <c r="CI9" s="1" t="s">
        <v>1154</v>
      </c>
      <c r="CK9" s="1" t="s">
        <v>1339</v>
      </c>
      <c r="CN9" s="1" t="s">
        <v>1492</v>
      </c>
      <c r="CO9" s="1" t="s">
        <v>1252</v>
      </c>
      <c r="CP9" s="1" t="s">
        <v>1501</v>
      </c>
      <c r="CQ9" s="1" t="s">
        <v>1489</v>
      </c>
      <c r="CS9" s="1" t="s">
        <v>1497</v>
      </c>
      <c r="CT9" s="1" t="s">
        <v>1335</v>
      </c>
      <c r="CW9" s="1" t="s">
        <v>1152</v>
      </c>
      <c r="CX9" s="1" t="s">
        <v>1505</v>
      </c>
      <c r="CY9" s="1" t="s">
        <v>1503</v>
      </c>
      <c r="CZ9" s="1" t="s">
        <v>1287</v>
      </c>
      <c r="DE9" s="1" t="s">
        <v>1371</v>
      </c>
      <c r="DF9" s="1" t="s">
        <v>1209</v>
      </c>
      <c r="DH9" s="1" t="s">
        <v>1489</v>
      </c>
      <c r="DI9" s="1" t="s">
        <v>1169</v>
      </c>
      <c r="DJ9" s="1" t="s">
        <v>1149</v>
      </c>
      <c r="DM9" s="1" t="s">
        <v>1162</v>
      </c>
      <c r="DN9" s="1" t="s">
        <v>1398</v>
      </c>
      <c r="DO9" s="1" t="s">
        <v>1406</v>
      </c>
      <c r="DP9" s="1" t="s">
        <v>1416</v>
      </c>
      <c r="DQ9" s="1" t="s">
        <v>1419</v>
      </c>
      <c r="DR9" s="1" t="s">
        <v>1501</v>
      </c>
      <c r="DS9" s="1" t="s">
        <v>1422</v>
      </c>
      <c r="DT9" s="1" t="s">
        <v>1287</v>
      </c>
      <c r="DW9" s="1" t="s">
        <v>1179</v>
      </c>
      <c r="DX9" s="1" t="s">
        <v>1211</v>
      </c>
      <c r="DZ9" s="1" t="s">
        <v>1499</v>
      </c>
      <c r="EB9" s="1" t="s">
        <v>1243</v>
      </c>
      <c r="EC9" s="1" t="s">
        <v>1436</v>
      </c>
      <c r="ED9" s="1" t="s">
        <v>1437</v>
      </c>
      <c r="EE9" s="1" t="s">
        <v>1445</v>
      </c>
      <c r="EM9" s="1" t="s">
        <v>1452</v>
      </c>
      <c r="EN9" s="1" t="s">
        <v>1150</v>
      </c>
      <c r="EP9" s="1" t="s">
        <v>1489</v>
      </c>
      <c r="EQ9" s="1" t="s">
        <v>1303</v>
      </c>
      <c r="ES9" s="1" t="s">
        <v>1492</v>
      </c>
      <c r="ET9" s="1" t="s">
        <v>1330</v>
      </c>
      <c r="EY9" s="1" t="s">
        <v>1492</v>
      </c>
      <c r="EZ9" s="1" t="s">
        <v>1497</v>
      </c>
      <c r="FA9" s="1" t="s">
        <v>1507</v>
      </c>
      <c r="FB9" s="1" t="s">
        <v>1481</v>
      </c>
      <c r="FC9" s="1" t="s">
        <v>1166</v>
      </c>
      <c r="FD9" s="1" t="s">
        <v>1157</v>
      </c>
    </row>
    <row r="10" spans="1:160">
      <c r="C10" s="1" t="s">
        <v>1153</v>
      </c>
      <c r="D10" s="1" t="s">
        <v>1489</v>
      </c>
      <c r="G10" s="1" t="s">
        <v>1172</v>
      </c>
      <c r="H10" s="1" t="s">
        <v>1489</v>
      </c>
      <c r="J10" s="1" t="s">
        <v>1153</v>
      </c>
      <c r="K10" s="1" t="s">
        <v>1169</v>
      </c>
      <c r="L10" s="1" t="s">
        <v>1166</v>
      </c>
      <c r="T10" s="1" t="s">
        <v>1495</v>
      </c>
      <c r="V10" s="1" t="s">
        <v>1501</v>
      </c>
      <c r="X10" s="1" t="s">
        <v>1489</v>
      </c>
      <c r="AC10" s="1" t="s">
        <v>1213</v>
      </c>
      <c r="AF10" s="1" t="s">
        <v>1169</v>
      </c>
      <c r="AG10" s="1" t="s">
        <v>1155</v>
      </c>
      <c r="AH10" s="1" t="s">
        <v>1149</v>
      </c>
      <c r="AJ10" s="1" t="s">
        <v>1178</v>
      </c>
      <c r="AP10" s="1" t="s">
        <v>1503</v>
      </c>
      <c r="AV10" s="1" t="s">
        <v>1213</v>
      </c>
      <c r="BF10" s="1" t="s">
        <v>1492</v>
      </c>
      <c r="BG10" s="1" t="s">
        <v>1209</v>
      </c>
      <c r="BI10" s="1" t="s">
        <v>1501</v>
      </c>
      <c r="BJ10" s="1" t="s">
        <v>1489</v>
      </c>
      <c r="BO10" s="1" t="s">
        <v>1501</v>
      </c>
      <c r="BP10" s="1" t="s">
        <v>1495</v>
      </c>
      <c r="BQ10" s="1" t="s">
        <v>1495</v>
      </c>
      <c r="BS10" s="1" t="s">
        <v>1292</v>
      </c>
      <c r="BU10" s="1" t="s">
        <v>1211</v>
      </c>
      <c r="BW10" s="1" t="s">
        <v>1501</v>
      </c>
      <c r="BX10" s="1" t="s">
        <v>1301</v>
      </c>
      <c r="BY10" s="1" t="s">
        <v>1216</v>
      </c>
      <c r="CA10" s="1" t="s">
        <v>1287</v>
      </c>
      <c r="CB10" s="1" t="s">
        <v>1503</v>
      </c>
      <c r="CD10" s="1" t="s">
        <v>1496</v>
      </c>
      <c r="CE10" s="1" t="s">
        <v>1311</v>
      </c>
      <c r="CI10" s="1" t="s">
        <v>1216</v>
      </c>
      <c r="CK10" s="1" t="s">
        <v>1340</v>
      </c>
      <c r="CN10" s="1" t="s">
        <v>1489</v>
      </c>
      <c r="CO10" s="1" t="s">
        <v>1355</v>
      </c>
      <c r="CS10" s="1" t="s">
        <v>1495</v>
      </c>
      <c r="CT10" s="1" t="s">
        <v>1497</v>
      </c>
      <c r="CW10" s="1" t="s">
        <v>1232</v>
      </c>
      <c r="CY10" s="1" t="s">
        <v>1489</v>
      </c>
      <c r="CZ10" s="1" t="s">
        <v>1503</v>
      </c>
      <c r="DF10" s="1" t="s">
        <v>1375</v>
      </c>
      <c r="DI10" s="1" t="s">
        <v>1153</v>
      </c>
      <c r="DJ10" s="1" t="s">
        <v>1152</v>
      </c>
      <c r="DM10" s="1" t="s">
        <v>1395</v>
      </c>
      <c r="DN10" s="1" t="s">
        <v>1402</v>
      </c>
      <c r="DO10" s="1" t="s">
        <v>1408</v>
      </c>
      <c r="DP10" s="1" t="s">
        <v>1155</v>
      </c>
      <c r="DQ10" s="1" t="s">
        <v>1303</v>
      </c>
      <c r="DR10" s="1" t="s">
        <v>1497</v>
      </c>
      <c r="DT10" s="1" t="s">
        <v>1496</v>
      </c>
      <c r="DX10" s="1" t="s">
        <v>1489</v>
      </c>
      <c r="DZ10" s="1" t="s">
        <v>1153</v>
      </c>
      <c r="EB10" s="1" t="s">
        <v>1433</v>
      </c>
      <c r="EC10" s="1" t="s">
        <v>1497</v>
      </c>
      <c r="ED10" s="1" t="s">
        <v>1439</v>
      </c>
      <c r="EM10" s="1" t="s">
        <v>1507</v>
      </c>
      <c r="EN10" s="1" t="s">
        <v>1211</v>
      </c>
      <c r="EQ10" s="1" t="s">
        <v>1149</v>
      </c>
      <c r="ES10" s="1" t="s">
        <v>1489</v>
      </c>
      <c r="ET10" s="1" t="s">
        <v>1501</v>
      </c>
      <c r="EY10" s="1" t="s">
        <v>1489</v>
      </c>
      <c r="FA10" s="1" t="s">
        <v>1501</v>
      </c>
      <c r="FB10" s="1" t="s">
        <v>1189</v>
      </c>
      <c r="FC10" s="1" t="s">
        <v>1466</v>
      </c>
      <c r="FD10" s="1" t="s">
        <v>1197</v>
      </c>
    </row>
    <row r="11" spans="1:160">
      <c r="C11" s="1" t="s">
        <v>1489</v>
      </c>
      <c r="G11" s="1" t="s">
        <v>1169</v>
      </c>
      <c r="J11" s="1" t="s">
        <v>1495</v>
      </c>
      <c r="K11" s="1" t="s">
        <v>1501</v>
      </c>
      <c r="L11" s="1" t="s">
        <v>1501</v>
      </c>
      <c r="T11" s="1" t="s">
        <v>1492</v>
      </c>
      <c r="V11" s="1" t="s">
        <v>1497</v>
      </c>
      <c r="AC11" s="1" t="s">
        <v>1221</v>
      </c>
      <c r="AF11" s="1" t="s">
        <v>1489</v>
      </c>
      <c r="AG11" s="1" t="s">
        <v>1213</v>
      </c>
      <c r="AH11" s="1" t="s">
        <v>1236</v>
      </c>
      <c r="AJ11" s="1" t="s">
        <v>1503</v>
      </c>
      <c r="AP11" s="1" t="s">
        <v>1489</v>
      </c>
      <c r="AV11" s="1" t="s">
        <v>1266</v>
      </c>
      <c r="BG11" s="1" t="s">
        <v>1149</v>
      </c>
      <c r="BI11" s="1" t="s">
        <v>1496</v>
      </c>
      <c r="BO11" s="1" t="s">
        <v>1496</v>
      </c>
      <c r="BP11" s="1" t="s">
        <v>1492</v>
      </c>
      <c r="BQ11" s="1" t="s">
        <v>1492</v>
      </c>
      <c r="BU11" s="1" t="s">
        <v>1503</v>
      </c>
      <c r="BX11" s="1" t="s">
        <v>1305</v>
      </c>
      <c r="BY11" s="1" t="s">
        <v>1253</v>
      </c>
      <c r="CA11" s="1" t="s">
        <v>1496</v>
      </c>
      <c r="CB11" s="1" t="s">
        <v>1496</v>
      </c>
      <c r="CE11" s="1" t="s">
        <v>1323</v>
      </c>
      <c r="CI11" s="1" t="s">
        <v>1161</v>
      </c>
      <c r="CK11" s="1" t="s">
        <v>1345</v>
      </c>
      <c r="CS11" s="1" t="s">
        <v>1492</v>
      </c>
      <c r="CT11" s="1" t="s">
        <v>1489</v>
      </c>
      <c r="CW11" s="1" t="s">
        <v>1178</v>
      </c>
      <c r="CZ11" s="1" t="s">
        <v>1497</v>
      </c>
      <c r="DF11" s="1" t="s">
        <v>1503</v>
      </c>
      <c r="DI11" s="1" t="s">
        <v>1489</v>
      </c>
      <c r="DJ11" s="1" t="s">
        <v>1385</v>
      </c>
      <c r="DM11" s="1" t="s">
        <v>1149</v>
      </c>
      <c r="DN11" s="1" t="s">
        <v>1401</v>
      </c>
      <c r="DO11" s="1" t="s">
        <v>1403</v>
      </c>
      <c r="DP11" s="1" t="s">
        <v>1413</v>
      </c>
      <c r="DQ11" s="1" t="s">
        <v>1256</v>
      </c>
      <c r="DR11" s="1" t="s">
        <v>1495</v>
      </c>
      <c r="DT11" s="1" t="s">
        <v>1489</v>
      </c>
      <c r="DZ11" s="1" t="s">
        <v>1507</v>
      </c>
      <c r="EB11" s="1" t="s">
        <v>1489</v>
      </c>
      <c r="ED11" s="1" t="s">
        <v>1441</v>
      </c>
      <c r="EM11" s="1" t="s">
        <v>1501</v>
      </c>
      <c r="EN11" s="1" t="s">
        <v>1496</v>
      </c>
      <c r="EQ11" s="1" t="s">
        <v>1305</v>
      </c>
      <c r="FB11" s="1" t="s">
        <v>1166</v>
      </c>
      <c r="FC11" s="1" t="s">
        <v>1469</v>
      </c>
      <c r="FD11" s="1" t="s">
        <v>1503</v>
      </c>
    </row>
    <row r="12" spans="1:160">
      <c r="G12" s="1" t="s">
        <v>1489</v>
      </c>
      <c r="J12" s="1" t="s">
        <v>1492</v>
      </c>
      <c r="K12" s="1" t="s">
        <v>1496</v>
      </c>
      <c r="L12" s="1" t="s">
        <v>1497</v>
      </c>
      <c r="T12" s="1" t="s">
        <v>1489</v>
      </c>
      <c r="V12" s="1" t="s">
        <v>1489</v>
      </c>
      <c r="AG12" s="1" t="s">
        <v>1166</v>
      </c>
      <c r="AH12" s="1" t="s">
        <v>1232</v>
      </c>
      <c r="AJ12" s="1" t="s">
        <v>1489</v>
      </c>
      <c r="AV12" s="1" t="s">
        <v>1489</v>
      </c>
      <c r="BG12" s="1" t="s">
        <v>1189</v>
      </c>
      <c r="BI12" s="1" t="s">
        <v>1495</v>
      </c>
      <c r="BO12" s="1" t="s">
        <v>1495</v>
      </c>
      <c r="BP12" s="1" t="s">
        <v>1489</v>
      </c>
      <c r="BQ12" s="1" t="s">
        <v>1489</v>
      </c>
      <c r="BU12" s="1" t="s">
        <v>1489</v>
      </c>
      <c r="BX12" s="1" t="s">
        <v>1503</v>
      </c>
      <c r="BY12" s="1" t="s">
        <v>1309</v>
      </c>
      <c r="CB12" s="1" t="s">
        <v>1489</v>
      </c>
      <c r="CE12" s="1" t="s">
        <v>1507</v>
      </c>
      <c r="CI12" s="1" t="s">
        <v>1221</v>
      </c>
      <c r="CK12" s="1" t="s">
        <v>1343</v>
      </c>
      <c r="CS12" s="1" t="s">
        <v>1489</v>
      </c>
      <c r="CW12" s="1" t="s">
        <v>1503</v>
      </c>
      <c r="CZ12" s="1" t="s">
        <v>1496</v>
      </c>
      <c r="DF12" s="1" t="s">
        <v>1489</v>
      </c>
      <c r="DJ12" s="1" t="s">
        <v>1386</v>
      </c>
      <c r="DM12" s="1" t="s">
        <v>1393</v>
      </c>
      <c r="DN12" s="1" t="s">
        <v>1489</v>
      </c>
      <c r="DO12" s="1" t="s">
        <v>1404</v>
      </c>
      <c r="DP12" s="1" t="s">
        <v>1305</v>
      </c>
      <c r="DQ12" s="1" t="s">
        <v>1287</v>
      </c>
      <c r="DR12" s="1" t="s">
        <v>1492</v>
      </c>
      <c r="DZ12" s="1" t="s">
        <v>1501</v>
      </c>
      <c r="ED12" s="1" t="s">
        <v>1169</v>
      </c>
      <c r="EM12" s="1" t="s">
        <v>1495</v>
      </c>
      <c r="EN12" s="1" t="s">
        <v>1489</v>
      </c>
      <c r="EQ12" s="1" t="s">
        <v>1182</v>
      </c>
      <c r="FC12" s="1" t="s">
        <v>1508</v>
      </c>
      <c r="FD12" s="1" t="s">
        <v>1496</v>
      </c>
    </row>
    <row r="13" spans="1:160">
      <c r="K13" s="1" t="s">
        <v>1492</v>
      </c>
      <c r="L13" s="1" t="s">
        <v>1496</v>
      </c>
      <c r="AG13" s="1" t="s">
        <v>1178</v>
      </c>
      <c r="AH13" s="1" t="s">
        <v>255</v>
      </c>
      <c r="BG13" s="1" t="s">
        <v>1152</v>
      </c>
      <c r="BI13" s="1" t="s">
        <v>1489</v>
      </c>
      <c r="BO13" s="1" t="s">
        <v>1492</v>
      </c>
      <c r="BY13" s="1" t="s">
        <v>1308</v>
      </c>
      <c r="CI13" s="1" t="s">
        <v>1338</v>
      </c>
      <c r="CK13" s="1" t="s">
        <v>1346</v>
      </c>
      <c r="CW13" s="1" t="s">
        <v>1489</v>
      </c>
      <c r="CZ13" s="1" t="s">
        <v>1492</v>
      </c>
      <c r="DJ13" s="1" t="s">
        <v>1153</v>
      </c>
      <c r="DM13" s="1" t="s">
        <v>1150</v>
      </c>
      <c r="DO13" s="1" t="s">
        <v>1300</v>
      </c>
      <c r="DP13" s="1" t="s">
        <v>1294</v>
      </c>
      <c r="DQ13" s="1" t="s">
        <v>1489</v>
      </c>
      <c r="DR13" s="1" t="s">
        <v>1489</v>
      </c>
      <c r="DZ13" s="1" t="s">
        <v>1495</v>
      </c>
      <c r="ED13" s="1" t="s">
        <v>1442</v>
      </c>
      <c r="EM13" s="1" t="s">
        <v>1492</v>
      </c>
      <c r="EQ13" s="1" t="s">
        <v>1152</v>
      </c>
      <c r="FC13" s="1" t="s">
        <v>1501</v>
      </c>
    </row>
    <row r="14" spans="1:160">
      <c r="K14" s="1" t="s">
        <v>1489</v>
      </c>
      <c r="L14" s="1" t="s">
        <v>1489</v>
      </c>
      <c r="AG14" s="1" t="s">
        <v>1169</v>
      </c>
      <c r="AH14" s="1" t="s">
        <v>1231</v>
      </c>
      <c r="BG14" s="1" t="s">
        <v>1169</v>
      </c>
      <c r="BO14" s="1" t="s">
        <v>1489</v>
      </c>
      <c r="BY14" s="1" t="s">
        <v>1501</v>
      </c>
      <c r="CI14" s="1" t="s">
        <v>1504</v>
      </c>
      <c r="CK14" s="1" t="s">
        <v>1341</v>
      </c>
      <c r="CZ14" s="1" t="s">
        <v>1489</v>
      </c>
      <c r="DJ14" s="1" t="s">
        <v>1383</v>
      </c>
      <c r="DM14" s="1" t="s">
        <v>1503</v>
      </c>
      <c r="DO14" s="1" t="s">
        <v>1489</v>
      </c>
      <c r="DZ14" s="1" t="s">
        <v>1492</v>
      </c>
      <c r="EM14" s="1" t="s">
        <v>1489</v>
      </c>
      <c r="EQ14" s="1" t="s">
        <v>1503</v>
      </c>
      <c r="FC14" s="1" t="s">
        <v>1496</v>
      </c>
    </row>
    <row r="15" spans="1:160">
      <c r="AG15" s="1" t="s">
        <v>1228</v>
      </c>
      <c r="AH15" s="1" t="s">
        <v>1153</v>
      </c>
      <c r="BG15" s="1" t="s">
        <v>1211</v>
      </c>
      <c r="CI15" s="1" t="s">
        <v>1501</v>
      </c>
      <c r="CK15" s="1" t="s">
        <v>1342</v>
      </c>
      <c r="DJ15" s="1" t="s">
        <v>1502</v>
      </c>
      <c r="DM15" s="1" t="s">
        <v>1489</v>
      </c>
      <c r="DZ15" s="1" t="s">
        <v>1489</v>
      </c>
      <c r="EQ15" s="1" t="s">
        <v>1501</v>
      </c>
      <c r="FC15" s="1" t="s">
        <v>1489</v>
      </c>
    </row>
    <row r="16" spans="1:160">
      <c r="AG16" s="1" t="s">
        <v>1489</v>
      </c>
      <c r="AH16" s="1" t="s">
        <v>1490</v>
      </c>
      <c r="BG16" s="1" t="s">
        <v>1507</v>
      </c>
      <c r="CI16" s="1" t="s">
        <v>1496</v>
      </c>
      <c r="CK16" s="1" t="s">
        <v>1507</v>
      </c>
      <c r="DJ16" s="1" t="s">
        <v>1507</v>
      </c>
      <c r="EQ16" s="1" t="s">
        <v>1496</v>
      </c>
    </row>
    <row r="17" spans="59:147">
      <c r="BG17" s="1" t="s">
        <v>1503</v>
      </c>
      <c r="DJ17" s="1" t="s">
        <v>1503</v>
      </c>
      <c r="EQ17" s="1" t="s">
        <v>1489</v>
      </c>
    </row>
    <row r="18" spans="59:147">
      <c r="BG18" s="1" t="s">
        <v>1489</v>
      </c>
      <c r="DJ18" s="1" t="s">
        <v>1489</v>
      </c>
    </row>
  </sheetData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C7B0D-2898-428A-9F28-529A3EF3B09B}">
  <dimension ref="A2:B6"/>
  <sheetViews>
    <sheetView workbookViewId="0">
      <selection activeCell="F21" sqref="F21"/>
    </sheetView>
  </sheetViews>
  <sheetFormatPr defaultRowHeight="17.399999999999999"/>
  <sheetData>
    <row r="2" spans="1:2">
      <c r="A2" t="s">
        <v>1730</v>
      </c>
      <c r="B2" t="s">
        <v>566</v>
      </c>
    </row>
    <row r="3" spans="1:2">
      <c r="B3" t="s">
        <v>1577</v>
      </c>
    </row>
    <row r="4" spans="1:2">
      <c r="B4" t="s">
        <v>1548</v>
      </c>
    </row>
    <row r="5" spans="1:2">
      <c r="B5" t="s">
        <v>1628</v>
      </c>
    </row>
    <row r="6" spans="1:2">
      <c r="B6" t="s">
        <v>1477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内科</vt:lpstr>
      <vt:lpstr>辨证论治 0</vt:lpstr>
      <vt:lpstr>辨证论治</vt:lpstr>
      <vt:lpstr>诊断</vt:lpstr>
      <vt:lpstr>药</vt:lpstr>
      <vt:lpstr>药总</vt:lpstr>
      <vt:lpstr>方剂</vt:lpstr>
      <vt:lpstr>方剂 总</vt:lpstr>
      <vt:lpstr>组成统计</vt:lpstr>
      <vt:lpstr>组合</vt:lpstr>
      <vt:lpstr>次数</vt:lpstr>
      <vt:lpstr>bys</vt:lpstr>
      <vt:lpstr>组成 (2)</vt:lpstr>
      <vt:lpstr>方剂汇总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KUDA</dc:creator>
  <cp:lastModifiedBy>KUDA</cp:lastModifiedBy>
  <dcterms:created xsi:type="dcterms:W3CDTF">2022-03-31T09:29:33Z</dcterms:created>
  <dcterms:modified xsi:type="dcterms:W3CDTF">2022-04-15T04:32:52Z</dcterms:modified>
</cp:coreProperties>
</file>