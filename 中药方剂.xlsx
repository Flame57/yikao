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028"/>
  <workbookPr defaultThemeVersion="166925"/>
  <mc:AlternateContent xmlns:mc="http://schemas.openxmlformats.org/markup-compatibility/2006">
    <mc:Choice Requires="x15">
      <x15ac:absPath xmlns:x15ac="http://schemas.microsoft.com/office/spreadsheetml/2010/11/ac" url="E:\练功_中医\中医考试\yikao\"/>
    </mc:Choice>
  </mc:AlternateContent>
  <xr:revisionPtr revIDLastSave="0" documentId="13_ncr:1_{75C7CEE4-340D-40ED-ADFB-BFF052F3F7B0}" xr6:coauthVersionLast="47" xr6:coauthVersionMax="47" xr10:uidLastSave="{00000000-0000-0000-0000-000000000000}"/>
  <bookViews>
    <workbookView xWindow="-108" yWindow="-108" windowWidth="22320" windowHeight="13176" activeTab="3" xr2:uid="{14FD703D-164D-4357-942D-0FBD9C4C4276}"/>
  </bookViews>
  <sheets>
    <sheet name="药" sheetId="2" r:id="rId1"/>
    <sheet name="药总" sheetId="3" r:id="rId2"/>
    <sheet name="方剂" sheetId="4" r:id="rId3"/>
    <sheet name="方剂 总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Q68" i="5" l="1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P34" i="5"/>
  <c r="P35" i="5"/>
  <c r="P36" i="5"/>
  <c r="P37" i="5"/>
  <c r="P38" i="5"/>
  <c r="P39" i="5"/>
  <c r="P40" i="5"/>
  <c r="P41" i="5"/>
  <c r="P42" i="5"/>
  <c r="P43" i="5"/>
  <c r="P44" i="5"/>
  <c r="P45" i="5"/>
  <c r="P46" i="5"/>
  <c r="P47" i="5"/>
  <c r="P48" i="5"/>
  <c r="P49" i="5"/>
  <c r="P50" i="5"/>
  <c r="P51" i="5"/>
  <c r="P52" i="5"/>
  <c r="P53" i="5"/>
  <c r="P54" i="5"/>
  <c r="P55" i="5"/>
  <c r="P56" i="5"/>
  <c r="P57" i="5"/>
  <c r="P58" i="5"/>
  <c r="P59" i="5"/>
  <c r="P60" i="5"/>
  <c r="P61" i="5"/>
  <c r="P62" i="5"/>
  <c r="P63" i="5"/>
  <c r="P64" i="5"/>
  <c r="P65" i="5"/>
  <c r="P66" i="5"/>
  <c r="P3" i="5"/>
  <c r="P4" i="5"/>
  <c r="P5" i="5"/>
  <c r="P2" i="5"/>
  <c r="Q81" i="3"/>
  <c r="P7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7" i="3"/>
  <c r="P28" i="3"/>
  <c r="P29" i="3"/>
  <c r="P30" i="3"/>
  <c r="P31" i="3"/>
  <c r="P32" i="3"/>
  <c r="P33" i="3"/>
  <c r="P34" i="3"/>
  <c r="P35" i="3"/>
  <c r="P36" i="3"/>
  <c r="P37" i="3"/>
  <c r="P38" i="3"/>
  <c r="P39" i="3"/>
  <c r="P40" i="3"/>
  <c r="P41" i="3"/>
  <c r="P42" i="3"/>
  <c r="P43" i="3"/>
  <c r="P44" i="3"/>
  <c r="P45" i="3"/>
  <c r="P46" i="3"/>
  <c r="P47" i="3"/>
  <c r="P48" i="3"/>
  <c r="P49" i="3"/>
  <c r="P50" i="3"/>
  <c r="P51" i="3"/>
  <c r="P52" i="3"/>
  <c r="P53" i="3"/>
  <c r="P54" i="3"/>
  <c r="P55" i="3"/>
  <c r="P56" i="3"/>
  <c r="P57" i="3"/>
  <c r="P58" i="3"/>
  <c r="P59" i="3"/>
  <c r="P60" i="3"/>
  <c r="P61" i="3"/>
  <c r="P62" i="3"/>
  <c r="P63" i="3"/>
  <c r="P64" i="3"/>
  <c r="P65" i="3"/>
  <c r="P66" i="3"/>
  <c r="P67" i="3"/>
  <c r="P68" i="3"/>
  <c r="P69" i="3"/>
  <c r="P70" i="3"/>
  <c r="P71" i="3"/>
  <c r="P72" i="3"/>
  <c r="P73" i="3"/>
  <c r="P74" i="3"/>
  <c r="P75" i="3"/>
  <c r="P76" i="3"/>
  <c r="P77" i="3"/>
  <c r="P78" i="3"/>
  <c r="P79" i="3"/>
  <c r="P4" i="3"/>
  <c r="P5" i="3"/>
  <c r="P6" i="3"/>
  <c r="P3" i="3"/>
  <c r="P2" i="3"/>
</calcChain>
</file>

<file path=xl/sharedStrings.xml><?xml version="1.0" encoding="utf-8"?>
<sst xmlns="http://schemas.openxmlformats.org/spreadsheetml/2006/main" count="1399" uniqueCount="723">
  <si>
    <t>药</t>
    <phoneticPr fontId="1" type="noConversion"/>
  </si>
  <si>
    <t>攻下</t>
    <phoneticPr fontId="1" type="noConversion"/>
  </si>
  <si>
    <t>番泻叶</t>
    <phoneticPr fontId="1" type="noConversion"/>
  </si>
  <si>
    <t>芦荟</t>
    <phoneticPr fontId="1" type="noConversion"/>
  </si>
  <si>
    <t>芒硝</t>
    <phoneticPr fontId="1" type="noConversion"/>
  </si>
  <si>
    <t>大黄</t>
    <phoneticPr fontId="1" type="noConversion"/>
  </si>
  <si>
    <t>润下</t>
    <phoneticPr fontId="1" type="noConversion"/>
  </si>
  <si>
    <t>火麻仁</t>
    <phoneticPr fontId="1" type="noConversion"/>
  </si>
  <si>
    <t>郁李仁</t>
    <phoneticPr fontId="1" type="noConversion"/>
  </si>
  <si>
    <t>松子仁</t>
    <phoneticPr fontId="1" type="noConversion"/>
  </si>
  <si>
    <t>逐水</t>
    <phoneticPr fontId="1" type="noConversion"/>
  </si>
  <si>
    <t>甘遂</t>
    <phoneticPr fontId="1" type="noConversion"/>
  </si>
  <si>
    <t>京大戟</t>
    <phoneticPr fontId="1" type="noConversion"/>
  </si>
  <si>
    <t>芫花</t>
    <phoneticPr fontId="1" type="noConversion"/>
  </si>
  <si>
    <t>牵牛子</t>
    <phoneticPr fontId="1" type="noConversion"/>
  </si>
  <si>
    <t>巴豆</t>
    <phoneticPr fontId="1" type="noConversion"/>
  </si>
  <si>
    <t>细目</t>
    <phoneticPr fontId="1" type="noConversion"/>
  </si>
  <si>
    <t>组</t>
    <phoneticPr fontId="1" type="noConversion"/>
  </si>
  <si>
    <t>功效</t>
    <phoneticPr fontId="1" type="noConversion"/>
  </si>
  <si>
    <t>其他</t>
    <phoneticPr fontId="1" type="noConversion"/>
  </si>
  <si>
    <t>肿 结</t>
    <phoneticPr fontId="1" type="noConversion"/>
  </si>
  <si>
    <t>虫</t>
    <phoneticPr fontId="1" type="noConversion"/>
  </si>
  <si>
    <t>痰</t>
    <phoneticPr fontId="1" type="noConversion"/>
  </si>
  <si>
    <t>应用</t>
    <phoneticPr fontId="1" type="noConversion"/>
  </si>
  <si>
    <t>痰 咽</t>
    <phoneticPr fontId="1" type="noConversion"/>
  </si>
  <si>
    <t>利水</t>
    <phoneticPr fontId="1" type="noConversion"/>
  </si>
  <si>
    <t>润肺</t>
    <phoneticPr fontId="1" type="noConversion"/>
  </si>
  <si>
    <t>肝 虫</t>
    <phoneticPr fontId="1" type="noConversion"/>
  </si>
  <si>
    <t>清肝</t>
    <phoneticPr fontId="1" type="noConversion"/>
  </si>
  <si>
    <t>软坚</t>
    <phoneticPr fontId="1" type="noConversion"/>
  </si>
  <si>
    <t>清热4 泻火 解毒 凉血 祛湿 
退黄 
淤 通经</t>
    <phoneticPr fontId="1" type="noConversion"/>
  </si>
  <si>
    <t>4+2</t>
    <phoneticPr fontId="1" type="noConversion"/>
  </si>
  <si>
    <t>泻下</t>
    <phoneticPr fontId="1" type="noConversion"/>
  </si>
  <si>
    <t>祛风湿</t>
    <phoneticPr fontId="1" type="noConversion"/>
  </si>
  <si>
    <t>风寒湿</t>
    <phoneticPr fontId="1" type="noConversion"/>
  </si>
  <si>
    <t>风热湿</t>
    <phoneticPr fontId="1" type="noConversion"/>
  </si>
  <si>
    <t>筋骨</t>
    <phoneticPr fontId="1" type="noConversion"/>
  </si>
  <si>
    <t>五加皮</t>
    <phoneticPr fontId="1" type="noConversion"/>
  </si>
  <si>
    <t>桑寄生</t>
    <phoneticPr fontId="1" type="noConversion"/>
  </si>
  <si>
    <t>狗脊</t>
    <phoneticPr fontId="1" type="noConversion"/>
  </si>
  <si>
    <t>安胎</t>
    <phoneticPr fontId="1" type="noConversion"/>
  </si>
  <si>
    <t>止血</t>
    <phoneticPr fontId="1" type="noConversion"/>
  </si>
  <si>
    <t>桑枝</t>
    <phoneticPr fontId="1" type="noConversion"/>
  </si>
  <si>
    <t>秦艽</t>
    <phoneticPr fontId="1" type="noConversion"/>
  </si>
  <si>
    <t>豨莶草</t>
    <phoneticPr fontId="1" type="noConversion"/>
  </si>
  <si>
    <t>防己</t>
    <phoneticPr fontId="1" type="noConversion"/>
  </si>
  <si>
    <t>络石藤</t>
    <phoneticPr fontId="1" type="noConversion"/>
  </si>
  <si>
    <t>上肢</t>
    <phoneticPr fontId="1" type="noConversion"/>
  </si>
  <si>
    <t>关节</t>
    <phoneticPr fontId="1" type="noConversion"/>
  </si>
  <si>
    <t>利关节</t>
    <phoneticPr fontId="1" type="noConversion"/>
  </si>
  <si>
    <t>止痛</t>
    <phoneticPr fontId="1" type="noConversion"/>
  </si>
  <si>
    <t>通络</t>
    <phoneticPr fontId="1" type="noConversion"/>
  </si>
  <si>
    <t>麻黄 发 防己 止</t>
    <phoneticPr fontId="1" type="noConversion"/>
  </si>
  <si>
    <t>秦艽 = 胡黄连 + 祛风湿</t>
    <phoneticPr fontId="1" type="noConversion"/>
  </si>
  <si>
    <t>利水 消肿</t>
    <phoneticPr fontId="1" type="noConversion"/>
  </si>
  <si>
    <t>川乌</t>
    <phoneticPr fontId="1" type="noConversion"/>
  </si>
  <si>
    <t>独活</t>
    <phoneticPr fontId="1" type="noConversion"/>
  </si>
  <si>
    <t>威灵仙</t>
    <phoneticPr fontId="1" type="noConversion"/>
  </si>
  <si>
    <t>瓜</t>
    <phoneticPr fontId="1" type="noConversion"/>
  </si>
  <si>
    <t>蕲蛇</t>
    <phoneticPr fontId="1" type="noConversion"/>
  </si>
  <si>
    <t>乌梢蛇</t>
    <phoneticPr fontId="1" type="noConversion"/>
  </si>
  <si>
    <t>青风藤</t>
    <phoneticPr fontId="1" type="noConversion"/>
  </si>
  <si>
    <t>木瓜</t>
    <phoneticPr fontId="1" type="noConversion"/>
  </si>
  <si>
    <t>巫毒仙 挂蛇藤</t>
    <phoneticPr fontId="1" type="noConversion"/>
  </si>
  <si>
    <t>消骨鲠</t>
    <phoneticPr fontId="1" type="noConversion"/>
  </si>
  <si>
    <t>仙风道骨</t>
    <phoneticPr fontId="1" type="noConversion"/>
  </si>
  <si>
    <t>解表</t>
    <phoneticPr fontId="1" type="noConversion"/>
  </si>
  <si>
    <t>温经</t>
    <phoneticPr fontId="1" type="noConversion"/>
  </si>
  <si>
    <t>利尿</t>
    <phoneticPr fontId="1" type="noConversion"/>
  </si>
  <si>
    <t>止痉</t>
    <phoneticPr fontId="1" type="noConversion"/>
  </si>
  <si>
    <t>舒筋活络 和胃化湿</t>
    <phoneticPr fontId="1" type="noConversion"/>
  </si>
  <si>
    <t>胃</t>
    <phoneticPr fontId="1" type="noConversion"/>
  </si>
  <si>
    <t>化湿</t>
    <phoneticPr fontId="1" type="noConversion"/>
  </si>
  <si>
    <t>藿香</t>
    <phoneticPr fontId="1" type="noConversion"/>
  </si>
  <si>
    <t>佩兰</t>
    <phoneticPr fontId="1" type="noConversion"/>
  </si>
  <si>
    <t>苍术</t>
    <phoneticPr fontId="1" type="noConversion"/>
  </si>
  <si>
    <t>厚朴</t>
    <phoneticPr fontId="1" type="noConversion"/>
  </si>
  <si>
    <t>草果</t>
    <phoneticPr fontId="1" type="noConversion"/>
  </si>
  <si>
    <t>白豆蔻</t>
    <phoneticPr fontId="1" type="noConversion"/>
  </si>
  <si>
    <t>砂仁</t>
    <phoneticPr fontId="1" type="noConversion"/>
  </si>
  <si>
    <t>解暑</t>
    <phoneticPr fontId="1" type="noConversion"/>
  </si>
  <si>
    <t>燥湿</t>
    <phoneticPr fontId="1" type="noConversion"/>
  </si>
  <si>
    <t>温中</t>
    <phoneticPr fontId="1" type="noConversion"/>
  </si>
  <si>
    <t>痰 截疟</t>
    <phoneticPr fontId="1" type="noConversion"/>
  </si>
  <si>
    <t>止呕</t>
    <phoneticPr fontId="1" type="noConversion"/>
  </si>
  <si>
    <t>止泻</t>
    <phoneticPr fontId="1" type="noConversion"/>
  </si>
  <si>
    <t>疟呕泄</t>
    <phoneticPr fontId="1" type="noConversion"/>
  </si>
  <si>
    <t>祛风 明目</t>
    <phoneticPr fontId="1" type="noConversion"/>
  </si>
  <si>
    <t>气</t>
    <phoneticPr fontId="1" type="noConversion"/>
  </si>
  <si>
    <t>上下气 除满</t>
    <phoneticPr fontId="1" type="noConversion"/>
  </si>
  <si>
    <t>风</t>
    <phoneticPr fontId="1" type="noConversion"/>
  </si>
  <si>
    <t>利水渗湿</t>
    <phoneticPr fontId="1" type="noConversion"/>
  </si>
  <si>
    <t>退黄</t>
    <phoneticPr fontId="1" type="noConversion"/>
  </si>
  <si>
    <t>消肿</t>
    <phoneticPr fontId="1" type="noConversion"/>
  </si>
  <si>
    <t>通淋</t>
    <phoneticPr fontId="1" type="noConversion"/>
  </si>
  <si>
    <t>虎杖</t>
    <phoneticPr fontId="1" type="noConversion"/>
  </si>
  <si>
    <t>茵陈蒿</t>
    <phoneticPr fontId="1" type="noConversion"/>
  </si>
  <si>
    <t>金钱草</t>
    <phoneticPr fontId="1" type="noConversion"/>
  </si>
  <si>
    <t>长阴茎</t>
    <phoneticPr fontId="1" type="noConversion"/>
  </si>
  <si>
    <t>香加皮</t>
    <phoneticPr fontId="1" type="noConversion"/>
  </si>
  <si>
    <t>冬瓜皮</t>
    <phoneticPr fontId="1" type="noConversion"/>
  </si>
  <si>
    <t>猪苓</t>
    <phoneticPr fontId="1" type="noConversion"/>
  </si>
  <si>
    <t>茯苓</t>
    <phoneticPr fontId="1" type="noConversion"/>
  </si>
  <si>
    <t>薏苡仁</t>
    <phoneticPr fontId="1" type="noConversion"/>
  </si>
  <si>
    <t>皮</t>
    <phoneticPr fontId="1" type="noConversion"/>
  </si>
  <si>
    <t>海金沙</t>
    <phoneticPr fontId="1" type="noConversion"/>
  </si>
  <si>
    <t>石韦</t>
    <phoneticPr fontId="1" type="noConversion"/>
  </si>
  <si>
    <t>萆薢</t>
    <phoneticPr fontId="1" type="noConversion"/>
  </si>
  <si>
    <t>内</t>
    <phoneticPr fontId="1" type="noConversion"/>
  </si>
  <si>
    <t>外</t>
    <phoneticPr fontId="1" type="noConversion"/>
  </si>
  <si>
    <t>妇</t>
    <phoneticPr fontId="1" type="noConversion"/>
  </si>
  <si>
    <t>通草</t>
    <phoneticPr fontId="1" type="noConversion"/>
  </si>
  <si>
    <t>木通</t>
    <phoneticPr fontId="1" type="noConversion"/>
  </si>
  <si>
    <t>瞿麦</t>
    <phoneticPr fontId="1" type="noConversion"/>
  </si>
  <si>
    <t>滑石</t>
    <phoneticPr fontId="1" type="noConversion"/>
  </si>
  <si>
    <t>地肤子</t>
    <phoneticPr fontId="1" type="noConversion"/>
  </si>
  <si>
    <t>萹蓄</t>
    <phoneticPr fontId="1" type="noConversion"/>
  </si>
  <si>
    <t>车前子</t>
    <phoneticPr fontId="1" type="noConversion"/>
  </si>
  <si>
    <t>窍</t>
    <phoneticPr fontId="1" type="noConversion"/>
  </si>
  <si>
    <t>3内外妇儿</t>
    <phoneticPr fontId="1" type="noConversion"/>
  </si>
  <si>
    <t>渗湿</t>
    <phoneticPr fontId="1" type="noConversion"/>
  </si>
  <si>
    <t>泄热</t>
    <phoneticPr fontId="1" type="noConversion"/>
  </si>
  <si>
    <t>健脾</t>
    <phoneticPr fontId="1" type="noConversion"/>
  </si>
  <si>
    <t>痹</t>
    <phoneticPr fontId="1" type="noConversion"/>
  </si>
  <si>
    <t>眼 咽 尿 泻</t>
    <phoneticPr fontId="1" type="noConversion"/>
  </si>
  <si>
    <t>清肝明目 祛痰 止泻</t>
    <phoneticPr fontId="1" type="noConversion"/>
  </si>
  <si>
    <t>乳</t>
    <phoneticPr fontId="1" type="noConversion"/>
  </si>
  <si>
    <t>乳 经</t>
    <phoneticPr fontId="1" type="noConversion"/>
  </si>
  <si>
    <t>经</t>
    <phoneticPr fontId="1" type="noConversion"/>
  </si>
  <si>
    <t>活血</t>
    <phoneticPr fontId="1" type="noConversion"/>
  </si>
  <si>
    <t>祛风 痹</t>
    <phoneticPr fontId="1" type="noConversion"/>
  </si>
  <si>
    <t>咳 血</t>
    <phoneticPr fontId="1" type="noConversion"/>
  </si>
  <si>
    <t>止咳 凉血止血</t>
    <phoneticPr fontId="1" type="noConversion"/>
  </si>
  <si>
    <t>暑 疮</t>
    <phoneticPr fontId="1" type="noConversion"/>
  </si>
  <si>
    <t>皮 止痒</t>
    <phoneticPr fontId="1" type="noConversion"/>
  </si>
  <si>
    <t>清热利湿</t>
    <phoneticPr fontId="1" type="noConversion"/>
  </si>
  <si>
    <t>湿热</t>
    <phoneticPr fontId="1" type="noConversion"/>
  </si>
  <si>
    <t>寒</t>
    <phoneticPr fontId="1" type="noConversion"/>
  </si>
  <si>
    <t>热</t>
    <phoneticPr fontId="1" type="noConversion"/>
  </si>
  <si>
    <t>牵牛花</t>
    <phoneticPr fontId="1" type="noConversion"/>
  </si>
  <si>
    <t>纠结 关节 疼</t>
    <phoneticPr fontId="1" type="noConversion"/>
  </si>
  <si>
    <t>全 退黄 消肿 通淋</t>
    <phoneticPr fontId="1" type="noConversion"/>
  </si>
  <si>
    <t>泽泻</t>
    <phoneticPr fontId="1" type="noConversion"/>
  </si>
  <si>
    <t>安神</t>
    <phoneticPr fontId="1" type="noConversion"/>
  </si>
  <si>
    <t>尿</t>
    <phoneticPr fontId="1" type="noConversion"/>
  </si>
  <si>
    <t>记</t>
    <phoneticPr fontId="1" type="noConversion"/>
  </si>
  <si>
    <t>剂</t>
    <phoneticPr fontId="1" type="noConversion"/>
  </si>
  <si>
    <t>清热</t>
    <phoneticPr fontId="1" type="noConversion"/>
  </si>
  <si>
    <t>泻火</t>
    <phoneticPr fontId="1" type="noConversion"/>
  </si>
  <si>
    <t>虚</t>
    <phoneticPr fontId="1" type="noConversion"/>
  </si>
  <si>
    <t>凉血</t>
  </si>
  <si>
    <t>凉血</t>
    <phoneticPr fontId="1" type="noConversion"/>
  </si>
  <si>
    <t>解毒</t>
    <phoneticPr fontId="1" type="noConversion"/>
  </si>
  <si>
    <t>青蒿</t>
    <phoneticPr fontId="1" type="noConversion"/>
  </si>
  <si>
    <t>白薇</t>
    <phoneticPr fontId="1" type="noConversion"/>
  </si>
  <si>
    <t>地骨皮</t>
    <phoneticPr fontId="1" type="noConversion"/>
  </si>
  <si>
    <t>银柴胡</t>
    <phoneticPr fontId="1" type="noConversion"/>
  </si>
  <si>
    <t>胡黄连</t>
    <phoneticPr fontId="1" type="noConversion"/>
  </si>
  <si>
    <t>青白地银狐</t>
    <phoneticPr fontId="1" type="noConversion"/>
  </si>
  <si>
    <t>生地黄</t>
    <phoneticPr fontId="1" type="noConversion"/>
  </si>
  <si>
    <t>玄参</t>
    <phoneticPr fontId="1" type="noConversion"/>
  </si>
  <si>
    <t>丹皮</t>
    <phoneticPr fontId="1" type="noConversion"/>
  </si>
  <si>
    <t>赤芍</t>
    <phoneticPr fontId="1" type="noConversion"/>
  </si>
  <si>
    <t>紫草</t>
    <phoneticPr fontId="1" type="noConversion"/>
  </si>
  <si>
    <t>水牛角</t>
    <phoneticPr fontId="1" type="noConversion"/>
  </si>
  <si>
    <t>淤</t>
    <phoneticPr fontId="1" type="noConversion"/>
  </si>
  <si>
    <t>毒</t>
    <phoneticPr fontId="1" type="noConversion"/>
  </si>
  <si>
    <t>津</t>
    <phoneticPr fontId="1" type="noConversion"/>
  </si>
  <si>
    <t>黄芩</t>
    <phoneticPr fontId="1" type="noConversion"/>
  </si>
  <si>
    <t>黄连</t>
    <phoneticPr fontId="1" type="noConversion"/>
  </si>
  <si>
    <t>黄柏</t>
    <phoneticPr fontId="1" type="noConversion"/>
  </si>
  <si>
    <t>秦皮</t>
    <phoneticPr fontId="1" type="noConversion"/>
  </si>
  <si>
    <t>白鲜皮</t>
    <phoneticPr fontId="1" type="noConversion"/>
  </si>
  <si>
    <t>龙胆草</t>
    <phoneticPr fontId="1" type="noConversion"/>
  </si>
  <si>
    <t>苦参</t>
    <phoneticPr fontId="1" type="noConversion"/>
  </si>
  <si>
    <t>黄</t>
    <phoneticPr fontId="1" type="noConversion"/>
  </si>
  <si>
    <t>栀子</t>
    <phoneticPr fontId="1" type="noConversion"/>
  </si>
  <si>
    <t>石膏</t>
    <phoneticPr fontId="1" type="noConversion"/>
  </si>
  <si>
    <t>知母</t>
    <phoneticPr fontId="1" type="noConversion"/>
  </si>
  <si>
    <t>栀</t>
    <phoneticPr fontId="1" type="noConversion"/>
  </si>
  <si>
    <t>十亩</t>
    <phoneticPr fontId="1" type="noConversion"/>
  </si>
  <si>
    <t>明目</t>
    <phoneticPr fontId="1" type="noConversion"/>
  </si>
  <si>
    <t>夏枯草</t>
    <phoneticPr fontId="1" type="noConversion"/>
  </si>
  <si>
    <t>决明子</t>
    <phoneticPr fontId="1" type="noConversion"/>
  </si>
  <si>
    <t>枯结</t>
    <phoneticPr fontId="1" type="noConversion"/>
  </si>
  <si>
    <t>芦根</t>
    <phoneticPr fontId="1" type="noConversion"/>
  </si>
  <si>
    <t>天花粉</t>
    <phoneticPr fontId="1" type="noConversion"/>
  </si>
  <si>
    <t>淡竹叶</t>
    <phoneticPr fontId="1" type="noConversion"/>
  </si>
  <si>
    <t>烦</t>
    <phoneticPr fontId="1" type="noConversion"/>
  </si>
  <si>
    <t>肝</t>
    <phoneticPr fontId="1" type="noConversion"/>
  </si>
  <si>
    <t>血</t>
    <phoneticPr fontId="1" type="noConversion"/>
  </si>
  <si>
    <t>青</t>
    <phoneticPr fontId="1" type="noConversion"/>
  </si>
  <si>
    <t>脸紫</t>
    <phoneticPr fontId="1" type="noConversion"/>
  </si>
  <si>
    <t>咽</t>
    <phoneticPr fontId="1" type="noConversion"/>
  </si>
  <si>
    <t>痢</t>
    <phoneticPr fontId="1" type="noConversion"/>
  </si>
  <si>
    <t>湿</t>
    <phoneticPr fontId="1" type="noConversion"/>
  </si>
  <si>
    <t>痈</t>
    <phoneticPr fontId="1" type="noConversion"/>
  </si>
  <si>
    <t>金银花</t>
    <phoneticPr fontId="1" type="noConversion"/>
  </si>
  <si>
    <t>连翘</t>
    <phoneticPr fontId="1" type="noConversion"/>
  </si>
  <si>
    <t>熊胆</t>
    <phoneticPr fontId="1" type="noConversion"/>
  </si>
  <si>
    <t>野菊花</t>
    <phoneticPr fontId="1" type="noConversion"/>
  </si>
  <si>
    <t>贯众</t>
    <phoneticPr fontId="1" type="noConversion"/>
  </si>
  <si>
    <t>大血藤</t>
    <phoneticPr fontId="1" type="noConversion"/>
  </si>
  <si>
    <t>青黛</t>
    <phoneticPr fontId="1" type="noConversion"/>
  </si>
  <si>
    <t>大青叶</t>
    <phoneticPr fontId="1" type="noConversion"/>
  </si>
  <si>
    <t>穿心莲</t>
    <phoneticPr fontId="1" type="noConversion"/>
  </si>
  <si>
    <t>紫花地丁</t>
    <phoneticPr fontId="1" type="noConversion"/>
  </si>
  <si>
    <t>马勃</t>
    <phoneticPr fontId="1" type="noConversion"/>
  </si>
  <si>
    <t>射干</t>
    <phoneticPr fontId="1" type="noConversion"/>
  </si>
  <si>
    <t>山豆根</t>
    <phoneticPr fontId="1" type="noConversion"/>
  </si>
  <si>
    <t>板蓝根</t>
    <phoneticPr fontId="1" type="noConversion"/>
  </si>
  <si>
    <t>白头翁</t>
    <phoneticPr fontId="1" type="noConversion"/>
  </si>
  <si>
    <t>马齿苋</t>
    <phoneticPr fontId="1" type="noConversion"/>
  </si>
  <si>
    <t>鸦胆子</t>
    <phoneticPr fontId="1" type="noConversion"/>
  </si>
  <si>
    <t>鱼腥草</t>
    <phoneticPr fontId="1" type="noConversion"/>
  </si>
  <si>
    <t>蒲公英</t>
    <phoneticPr fontId="1" type="noConversion"/>
  </si>
  <si>
    <t>白花蛇草</t>
    <phoneticPr fontId="1" type="noConversion"/>
  </si>
  <si>
    <t>土茯苓</t>
    <phoneticPr fontId="1" type="noConversion"/>
  </si>
  <si>
    <t>漏芦</t>
    <phoneticPr fontId="1" type="noConversion"/>
  </si>
  <si>
    <t>山慈菇</t>
    <phoneticPr fontId="1" type="noConversion"/>
  </si>
  <si>
    <t>败酱草</t>
    <phoneticPr fontId="1" type="noConversion"/>
  </si>
  <si>
    <t>动物</t>
    <phoneticPr fontId="1" type="noConversion"/>
  </si>
  <si>
    <t>病理</t>
    <phoneticPr fontId="1" type="noConversion"/>
  </si>
  <si>
    <t>风肝血</t>
    <phoneticPr fontId="1" type="noConversion"/>
  </si>
  <si>
    <t>斑</t>
    <phoneticPr fontId="1" type="noConversion"/>
  </si>
  <si>
    <t>消胀</t>
    <phoneticPr fontId="1" type="noConversion"/>
  </si>
  <si>
    <t>祛风止痛</t>
    <phoneticPr fontId="1" type="noConversion"/>
  </si>
  <si>
    <t>息风止痉</t>
    <phoneticPr fontId="1" type="noConversion"/>
  </si>
  <si>
    <t>肿</t>
    <phoneticPr fontId="1" type="noConversion"/>
  </si>
  <si>
    <t>温里</t>
    <phoneticPr fontId="1" type="noConversion"/>
  </si>
  <si>
    <t>附子</t>
    <phoneticPr fontId="1" type="noConversion"/>
  </si>
  <si>
    <t>肉桂</t>
    <phoneticPr fontId="1" type="noConversion"/>
  </si>
  <si>
    <t>吴茱萸</t>
    <phoneticPr fontId="1" type="noConversion"/>
  </si>
  <si>
    <t>丁香</t>
    <phoneticPr fontId="1" type="noConversion"/>
  </si>
  <si>
    <t>小茴香</t>
    <phoneticPr fontId="1" type="noConversion"/>
  </si>
  <si>
    <t>花椒</t>
    <phoneticPr fontId="1" type="noConversion"/>
  </si>
  <si>
    <t>干姜</t>
    <phoneticPr fontId="1" type="noConversion"/>
  </si>
  <si>
    <t>高良姜</t>
    <phoneticPr fontId="1" type="noConversion"/>
  </si>
  <si>
    <t>散寒止痛</t>
    <phoneticPr fontId="1" type="noConversion"/>
  </si>
  <si>
    <t>补火助阳</t>
    <phoneticPr fontId="1" type="noConversion"/>
  </si>
  <si>
    <t>回阳救逆</t>
    <phoneticPr fontId="1" type="noConversion"/>
  </si>
  <si>
    <t>回 死</t>
    <phoneticPr fontId="1" type="noConversion"/>
  </si>
  <si>
    <t>补 虚</t>
    <phoneticPr fontId="1" type="noConversion"/>
  </si>
  <si>
    <t>痛 痹</t>
    <phoneticPr fontId="1" type="noConversion"/>
  </si>
  <si>
    <t>3止 痛泻呕</t>
    <phoneticPr fontId="1" type="noConversion"/>
  </si>
  <si>
    <t>虫 痒</t>
    <phoneticPr fontId="1" type="noConversion"/>
  </si>
  <si>
    <t>附子 细辛 回阳 化饮</t>
    <phoneticPr fontId="1" type="noConversion"/>
  </si>
  <si>
    <t>香</t>
    <phoneticPr fontId="1" type="noConversion"/>
  </si>
  <si>
    <t>疝</t>
    <phoneticPr fontId="1" type="noConversion"/>
  </si>
  <si>
    <t>姜 温</t>
    <phoneticPr fontId="1" type="noConversion"/>
  </si>
  <si>
    <t>呃逆 阳痿</t>
    <phoneticPr fontId="1" type="noConversion"/>
  </si>
  <si>
    <t>姜</t>
    <phoneticPr fontId="1" type="noConversion"/>
  </si>
  <si>
    <t>椒</t>
    <phoneticPr fontId="1" type="noConversion"/>
  </si>
  <si>
    <t>理气</t>
    <phoneticPr fontId="1" type="noConversion"/>
  </si>
  <si>
    <t>子</t>
    <phoneticPr fontId="1" type="noConversion"/>
  </si>
  <si>
    <t>黑白手</t>
    <phoneticPr fontId="1" type="noConversion"/>
  </si>
  <si>
    <t>檀香</t>
    <phoneticPr fontId="1" type="noConversion"/>
  </si>
  <si>
    <t>香附</t>
    <phoneticPr fontId="1" type="noConversion"/>
  </si>
  <si>
    <t>木香</t>
    <phoneticPr fontId="1" type="noConversion"/>
  </si>
  <si>
    <t>沉香</t>
    <phoneticPr fontId="1" type="noConversion"/>
  </si>
  <si>
    <t>从上到下</t>
    <phoneticPr fontId="1" type="noConversion"/>
  </si>
  <si>
    <t>陈皮</t>
    <phoneticPr fontId="1" type="noConversion"/>
  </si>
  <si>
    <t>青皮</t>
    <phoneticPr fontId="1" type="noConversion"/>
  </si>
  <si>
    <t>大腹皮</t>
    <phoneticPr fontId="1" type="noConversion"/>
  </si>
  <si>
    <t>枳实</t>
    <phoneticPr fontId="1" type="noConversion"/>
  </si>
  <si>
    <t>川楝子</t>
    <phoneticPr fontId="1" type="noConversion"/>
  </si>
  <si>
    <t>荔枝核</t>
    <phoneticPr fontId="1" type="noConversion"/>
  </si>
  <si>
    <t>乌药</t>
    <phoneticPr fontId="1" type="noConversion"/>
  </si>
  <si>
    <t>薤白</t>
    <phoneticPr fontId="1" type="noConversion"/>
  </si>
  <si>
    <t>佛手</t>
    <phoneticPr fontId="1" type="noConversion"/>
  </si>
  <si>
    <t>膻中</t>
    <phoneticPr fontId="1" type="noConversion"/>
  </si>
  <si>
    <t>肋</t>
    <phoneticPr fontId="1" type="noConversion"/>
  </si>
  <si>
    <t>中</t>
    <phoneticPr fontId="1" type="noConversion"/>
  </si>
  <si>
    <t>健脾消食</t>
    <phoneticPr fontId="1" type="noConversion"/>
  </si>
  <si>
    <t>消积滞</t>
    <phoneticPr fontId="1" type="noConversion"/>
  </si>
  <si>
    <t>皮利水</t>
    <phoneticPr fontId="1" type="noConversion"/>
  </si>
  <si>
    <t>宽中</t>
    <phoneticPr fontId="1" type="noConversion"/>
  </si>
  <si>
    <t>痰湿</t>
    <phoneticPr fontId="1" type="noConversion"/>
  </si>
  <si>
    <t>陈皮+青皮</t>
    <phoneticPr fontId="1" type="noConversion"/>
  </si>
  <si>
    <t>散结</t>
    <phoneticPr fontId="1" type="noConversion"/>
  </si>
  <si>
    <t>虫 止痛</t>
    <phoneticPr fontId="1" type="noConversion"/>
  </si>
  <si>
    <t>止痛</t>
  </si>
  <si>
    <t>陈皮+香附</t>
    <phoneticPr fontId="1" type="noConversion"/>
  </si>
  <si>
    <t>痰 肝</t>
    <phoneticPr fontId="1" type="noConversion"/>
  </si>
  <si>
    <t>痢 胸痹</t>
    <phoneticPr fontId="1" type="noConversion"/>
  </si>
  <si>
    <t>和胃止痛</t>
    <phoneticPr fontId="1" type="noConversion"/>
  </si>
  <si>
    <t>消食</t>
    <phoneticPr fontId="1" type="noConversion"/>
  </si>
  <si>
    <t>山楂</t>
    <phoneticPr fontId="1" type="noConversion"/>
  </si>
  <si>
    <t>神曲</t>
    <phoneticPr fontId="1" type="noConversion"/>
  </si>
  <si>
    <t>麦芽</t>
    <phoneticPr fontId="1" type="noConversion"/>
  </si>
  <si>
    <t>莱菔子</t>
    <phoneticPr fontId="1" type="noConversion"/>
  </si>
  <si>
    <t>稻芽</t>
    <phoneticPr fontId="1" type="noConversion"/>
  </si>
  <si>
    <t>鸡内金</t>
    <phoneticPr fontId="1" type="noConversion"/>
  </si>
  <si>
    <t>红</t>
    <phoneticPr fontId="1" type="noConversion"/>
  </si>
  <si>
    <t>紫</t>
    <phoneticPr fontId="1" type="noConversion"/>
  </si>
  <si>
    <t>和胃</t>
    <phoneticPr fontId="1" type="noConversion"/>
  </si>
  <si>
    <t>半夏厚朴汤
苏子降气汤
大承气汤
平胃散</t>
    <phoneticPr fontId="1" type="noConversion"/>
  </si>
  <si>
    <t>草豆沙</t>
    <phoneticPr fontId="1" type="noConversion"/>
  </si>
  <si>
    <t>脓痹</t>
    <phoneticPr fontId="1" type="noConversion"/>
  </si>
  <si>
    <t>淋</t>
    <phoneticPr fontId="1" type="noConversion"/>
  </si>
  <si>
    <t>肺</t>
    <phoneticPr fontId="1" type="noConversion"/>
  </si>
  <si>
    <t>包煎</t>
    <phoneticPr fontId="1" type="noConversion"/>
  </si>
  <si>
    <t>用法</t>
    <phoneticPr fontId="1" type="noConversion"/>
  </si>
  <si>
    <t>大黄 +痰 -凉血</t>
    <phoneticPr fontId="1" type="noConversion"/>
  </si>
  <si>
    <t>红色</t>
    <phoneticPr fontId="1" type="noConversion"/>
  </si>
  <si>
    <t>生麦芽 疏肝 镇肝熄风汤 炒麦芽 回乳</t>
    <phoneticPr fontId="1" type="noConversion"/>
  </si>
  <si>
    <t>气 痰</t>
    <phoneticPr fontId="1" type="noConversion"/>
  </si>
  <si>
    <t>淋 男科</t>
    <phoneticPr fontId="1" type="noConversion"/>
  </si>
  <si>
    <t>驱虫</t>
    <phoneticPr fontId="1" type="noConversion"/>
  </si>
  <si>
    <t>槟榔</t>
    <phoneticPr fontId="1" type="noConversion"/>
  </si>
  <si>
    <t>使君子</t>
    <phoneticPr fontId="1" type="noConversion"/>
  </si>
  <si>
    <t>雷丸</t>
    <phoneticPr fontId="1" type="noConversion"/>
  </si>
  <si>
    <t>榧子</t>
    <phoneticPr fontId="1" type="noConversion"/>
  </si>
  <si>
    <t>苦楝皮</t>
    <phoneticPr fontId="1" type="noConversion"/>
  </si>
  <si>
    <t>水气虫积疟</t>
    <phoneticPr fontId="1" type="noConversion"/>
  </si>
  <si>
    <t>丸</t>
    <phoneticPr fontId="1" type="noConversion"/>
  </si>
  <si>
    <t>呃逆 忌茶</t>
    <phoneticPr fontId="1" type="noConversion"/>
  </si>
  <si>
    <t>唯一不消积 有毒</t>
    <phoneticPr fontId="1" type="noConversion"/>
  </si>
  <si>
    <t>艾叶</t>
    <phoneticPr fontId="1" type="noConversion"/>
  </si>
  <si>
    <t>炮姜</t>
    <phoneticPr fontId="1" type="noConversion"/>
  </si>
  <si>
    <t>调经</t>
    <phoneticPr fontId="1" type="noConversion"/>
  </si>
  <si>
    <t>茜草</t>
    <phoneticPr fontId="1" type="noConversion"/>
  </si>
  <si>
    <t>大类缺收敛</t>
    <phoneticPr fontId="1" type="noConversion"/>
  </si>
  <si>
    <t>化瘀</t>
    <phoneticPr fontId="1" type="noConversion"/>
  </si>
  <si>
    <t>调经要药</t>
    <phoneticPr fontId="1" type="noConversion"/>
  </si>
  <si>
    <t>三七</t>
    <phoneticPr fontId="1" type="noConversion"/>
  </si>
  <si>
    <t>蒲黄</t>
    <phoneticPr fontId="1" type="noConversion"/>
  </si>
  <si>
    <t>降香</t>
    <phoneticPr fontId="1" type="noConversion"/>
  </si>
  <si>
    <t>收敛</t>
    <phoneticPr fontId="1" type="noConversion"/>
  </si>
  <si>
    <t>活血</t>
  </si>
  <si>
    <t>虚寒 安胎 要药</t>
    <phoneticPr fontId="1" type="noConversion"/>
  </si>
  <si>
    <t>棕榈炭</t>
    <phoneticPr fontId="1" type="noConversion"/>
  </si>
  <si>
    <t>血余炭</t>
    <phoneticPr fontId="1" type="noConversion"/>
  </si>
  <si>
    <t>白芨</t>
    <phoneticPr fontId="1" type="noConversion"/>
  </si>
  <si>
    <t>仙鹤草</t>
    <phoneticPr fontId="1" type="noConversion"/>
  </si>
  <si>
    <t>肿 生肌</t>
    <phoneticPr fontId="1" type="noConversion"/>
  </si>
  <si>
    <t>痢 疟 虚</t>
    <phoneticPr fontId="1" type="noConversion"/>
  </si>
  <si>
    <t>止泻 带</t>
    <phoneticPr fontId="1" type="noConversion"/>
  </si>
  <si>
    <t>小蓟</t>
    <phoneticPr fontId="1" type="noConversion"/>
  </si>
  <si>
    <t>大蓟</t>
    <phoneticPr fontId="1" type="noConversion"/>
  </si>
  <si>
    <t>白茅根</t>
    <phoneticPr fontId="1" type="noConversion"/>
  </si>
  <si>
    <t>侧柏叶</t>
    <phoneticPr fontId="1" type="noConversion"/>
  </si>
  <si>
    <t>地榆</t>
    <phoneticPr fontId="1" type="noConversion"/>
  </si>
  <si>
    <t>槐花</t>
    <phoneticPr fontId="1" type="noConversion"/>
  </si>
  <si>
    <t>拥堵急</t>
    <phoneticPr fontId="1" type="noConversion"/>
  </si>
  <si>
    <t>痈毒蓟</t>
    <phoneticPr fontId="1" type="noConversion"/>
  </si>
  <si>
    <t>血淋</t>
    <phoneticPr fontId="1" type="noConversion"/>
  </si>
  <si>
    <t>吐血 血崩</t>
    <phoneticPr fontId="1" type="noConversion"/>
  </si>
  <si>
    <t>散瘀解毒消痈</t>
    <phoneticPr fontId="1" type="noConversion"/>
  </si>
  <si>
    <t>肺尿</t>
    <phoneticPr fontId="1" type="noConversion"/>
  </si>
  <si>
    <t>白 肺 根 尿</t>
    <phoneticPr fontId="1" type="noConversion"/>
  </si>
  <si>
    <t>烫伤</t>
    <phoneticPr fontId="1" type="noConversion"/>
  </si>
  <si>
    <t>白鹤炭</t>
    <phoneticPr fontId="1" type="noConversion"/>
  </si>
  <si>
    <t>植物</t>
    <phoneticPr fontId="1" type="noConversion"/>
  </si>
  <si>
    <t>蓟</t>
  </si>
  <si>
    <t>荆防姜苏麻贵香 藁白羌活细辛苍</t>
    <phoneticPr fontId="1" type="noConversion"/>
  </si>
  <si>
    <t>桂枝</t>
    <phoneticPr fontId="1" type="noConversion"/>
  </si>
  <si>
    <t>生姜</t>
    <phoneticPr fontId="1" type="noConversion"/>
  </si>
  <si>
    <t>紫苏</t>
    <phoneticPr fontId="1" type="noConversion"/>
  </si>
  <si>
    <t>荆芥</t>
    <phoneticPr fontId="1" type="noConversion"/>
  </si>
  <si>
    <t>麻黄</t>
    <phoneticPr fontId="1" type="noConversion"/>
  </si>
  <si>
    <t>香薷</t>
    <phoneticPr fontId="1" type="noConversion"/>
  </si>
  <si>
    <t>藁本</t>
    <phoneticPr fontId="1" type="noConversion"/>
  </si>
  <si>
    <t>羌活</t>
    <phoneticPr fontId="1" type="noConversion"/>
  </si>
  <si>
    <t>防风</t>
    <phoneticPr fontId="1" type="noConversion"/>
  </si>
  <si>
    <t>辛夷</t>
    <phoneticPr fontId="1" type="noConversion"/>
  </si>
  <si>
    <t>苍耳子</t>
    <phoneticPr fontId="1" type="noConversion"/>
  </si>
  <si>
    <t>细辛</t>
    <phoneticPr fontId="1" type="noConversion"/>
  </si>
  <si>
    <t>白芷</t>
    <phoneticPr fontId="1" type="noConversion"/>
  </si>
  <si>
    <t>风湿 痛</t>
    <phoneticPr fontId="1" type="noConversion"/>
  </si>
  <si>
    <t>通鼻窍</t>
    <phoneticPr fontId="1" type="noConversion"/>
  </si>
  <si>
    <t>风湿痛</t>
    <phoneticPr fontId="1" type="noConversion"/>
  </si>
  <si>
    <t>化饮</t>
    <phoneticPr fontId="1" type="noConversion"/>
  </si>
  <si>
    <t>燥湿 脓</t>
    <phoneticPr fontId="1" type="noConversion"/>
  </si>
  <si>
    <t>头</t>
    <phoneticPr fontId="1" type="noConversion"/>
  </si>
  <si>
    <t>上身</t>
    <phoneticPr fontId="1" type="noConversion"/>
  </si>
  <si>
    <t>全身</t>
    <phoneticPr fontId="1" type="noConversion"/>
  </si>
  <si>
    <t>夏之麻黄</t>
    <phoneticPr fontId="1" type="noConversion"/>
  </si>
  <si>
    <t>肺 喘</t>
    <phoneticPr fontId="1" type="noConversion"/>
  </si>
  <si>
    <t>风疹</t>
    <phoneticPr fontId="1" type="noConversion"/>
  </si>
  <si>
    <t>疮</t>
    <phoneticPr fontId="1" type="noConversion"/>
  </si>
  <si>
    <t>麻黄汤 麻杏石甘汤
越婢白术汤 阳和汤</t>
    <phoneticPr fontId="1" type="noConversion"/>
  </si>
  <si>
    <t>痛 痰 心悸</t>
    <phoneticPr fontId="1" type="noConversion"/>
  </si>
  <si>
    <t>表</t>
    <phoneticPr fontId="1" type="noConversion"/>
  </si>
  <si>
    <t>太阳头痛</t>
    <phoneticPr fontId="1" type="noConversion"/>
  </si>
  <si>
    <t>淡豆豉</t>
    <phoneticPr fontId="1" type="noConversion"/>
  </si>
  <si>
    <t>桑叶</t>
    <phoneticPr fontId="1" type="noConversion"/>
  </si>
  <si>
    <t>菊花</t>
    <phoneticPr fontId="1" type="noConversion"/>
  </si>
  <si>
    <t>蔓荆子</t>
    <phoneticPr fontId="1" type="noConversion"/>
  </si>
  <si>
    <t>梳头</t>
    <phoneticPr fontId="1" type="noConversion"/>
  </si>
  <si>
    <t>薄荷</t>
    <phoneticPr fontId="1" type="noConversion"/>
  </si>
  <si>
    <t>牛蒡子</t>
    <phoneticPr fontId="1" type="noConversion"/>
  </si>
  <si>
    <t>蝉蜕</t>
    <phoneticPr fontId="1" type="noConversion"/>
  </si>
  <si>
    <t>利咽透疹</t>
    <phoneticPr fontId="1" type="noConversion"/>
  </si>
  <si>
    <t>肺 痰</t>
    <phoneticPr fontId="1" type="noConversion"/>
  </si>
  <si>
    <t>柴胡</t>
    <phoneticPr fontId="1" type="noConversion"/>
  </si>
  <si>
    <t>升麻</t>
    <phoneticPr fontId="1" type="noConversion"/>
  </si>
  <si>
    <t>葛根</t>
    <phoneticPr fontId="1" type="noConversion"/>
  </si>
  <si>
    <t>升阳</t>
    <phoneticPr fontId="1" type="noConversion"/>
  </si>
  <si>
    <t>透疹</t>
    <phoneticPr fontId="1" type="noConversion"/>
  </si>
  <si>
    <t>疟</t>
    <phoneticPr fontId="1" type="noConversion"/>
  </si>
  <si>
    <t>瘀 尿</t>
    <phoneticPr fontId="1" type="noConversion"/>
  </si>
  <si>
    <t>肿 定痛</t>
    <phoneticPr fontId="1" type="noConversion"/>
  </si>
  <si>
    <t>淋 尿</t>
    <phoneticPr fontId="1" type="noConversion"/>
  </si>
  <si>
    <t>发 痰咳</t>
    <phoneticPr fontId="1" type="noConversion"/>
  </si>
  <si>
    <t>攻毒杀虫</t>
    <phoneticPr fontId="1" type="noConversion"/>
  </si>
  <si>
    <t>黄白黄 虫蜂蟾蛇床</t>
    <phoneticPr fontId="1" type="noConversion"/>
  </si>
  <si>
    <t>收涩</t>
    <phoneticPr fontId="1" type="noConversion"/>
  </si>
  <si>
    <t>固表止汗</t>
    <phoneticPr fontId="1" type="noConversion"/>
  </si>
  <si>
    <t>麦麻根</t>
    <phoneticPr fontId="1" type="noConversion"/>
  </si>
  <si>
    <t>敛肺涩肠</t>
    <phoneticPr fontId="1" type="noConversion"/>
  </si>
  <si>
    <t>肥肠和豆豉5倍美味</t>
    <phoneticPr fontId="1" type="noConversion"/>
  </si>
  <si>
    <t>肺肠诃豆脂倍梅味</t>
    <phoneticPr fontId="1" type="noConversion"/>
  </si>
  <si>
    <t>固精缩尿止带</t>
    <phoneticPr fontId="1" type="noConversion"/>
  </si>
  <si>
    <t>椿蛸止千</t>
    <phoneticPr fontId="1" type="noConversion"/>
  </si>
  <si>
    <t>春宵止千金 固山莲海</t>
    <phoneticPr fontId="1" type="noConversion"/>
  </si>
  <si>
    <t>补虚</t>
    <phoneticPr fontId="1" type="noConversion"/>
  </si>
  <si>
    <t>非常呆憨</t>
    <phoneticPr fontId="1" type="noConversion"/>
  </si>
  <si>
    <t>阴</t>
    <phoneticPr fontId="1" type="noConversion"/>
  </si>
  <si>
    <t>阳</t>
    <phoneticPr fontId="1" type="noConversion"/>
  </si>
  <si>
    <t>参芪煮山药 扁豆草蜜枣</t>
    <phoneticPr fontId="1" type="noConversion"/>
  </si>
  <si>
    <t>冬蛤
仲断</t>
    <phoneticPr fontId="1" type="noConversion"/>
  </si>
  <si>
    <t>拔羊毛吃羊肉 
冻个沙司补益 肺肝脾 
精血 中断</t>
    <phoneticPr fontId="1" type="noConversion"/>
  </si>
  <si>
    <t>四物汤胶乌龙血</t>
    <phoneticPr fontId="1" type="noConversion"/>
  </si>
  <si>
    <t>天竹百脉南北斛精 别汗蒸猪狗</t>
    <phoneticPr fontId="1" type="noConversion"/>
  </si>
  <si>
    <t>憋旱贞诸枸</t>
    <phoneticPr fontId="1" type="noConversion"/>
  </si>
  <si>
    <t>开窍</t>
    <phoneticPr fontId="1" type="noConversion"/>
  </si>
  <si>
    <t>常喝香槟 舒适</t>
    <phoneticPr fontId="1" type="noConversion"/>
  </si>
  <si>
    <t>菖合 冰 苏石</t>
    <phoneticPr fontId="1" type="noConversion"/>
  </si>
  <si>
    <t>平肝熄风</t>
    <phoneticPr fontId="1" type="noConversion"/>
  </si>
  <si>
    <t>平肝</t>
    <phoneticPr fontId="1" type="noConversion"/>
  </si>
  <si>
    <t>平民带着萝卜刺激母猪</t>
    <phoneticPr fontId="1" type="noConversion"/>
  </si>
  <si>
    <t>平肝 明代赭罗布刺蒺牡珠</t>
    <phoneticPr fontId="1" type="noConversion"/>
  </si>
  <si>
    <t>熄风</t>
  </si>
  <si>
    <t>大小动物有毒无毒植物
牛羊蝎蚣蚯蚕麻藤 珠</t>
    <phoneticPr fontId="1" type="noConversion"/>
  </si>
  <si>
    <t>重镇</t>
    <phoneticPr fontId="1" type="noConversion"/>
  </si>
  <si>
    <t>养心</t>
    <phoneticPr fontId="1" type="noConversion"/>
  </si>
  <si>
    <t>龙虎吃猪</t>
    <phoneticPr fontId="1" type="noConversion"/>
  </si>
  <si>
    <t>换皮脖子酸 止痒手疼</t>
    <phoneticPr fontId="1" type="noConversion"/>
  </si>
  <si>
    <t>欢皮柏子酸 志养首藤</t>
    <phoneticPr fontId="1" type="noConversion"/>
  </si>
  <si>
    <t>化痰止咳平喘</t>
    <phoneticPr fontId="1" type="noConversion"/>
  </si>
  <si>
    <t>止咳</t>
    <phoneticPr fontId="1" type="noConversion"/>
  </si>
  <si>
    <t>三三两两痰热瓜</t>
    <phoneticPr fontId="1" type="noConversion"/>
  </si>
  <si>
    <t>喊半天白花钱</t>
    <phoneticPr fontId="1" type="noConversion"/>
  </si>
  <si>
    <t>书信纸百花 桑葶白枇杷</t>
    <phoneticPr fontId="1" type="noConversion"/>
  </si>
  <si>
    <t>苏杏紫</t>
    <phoneticPr fontId="1" type="noConversion"/>
  </si>
  <si>
    <t>竹 立如天 海 布割藻 母 前桔</t>
    <phoneticPr fontId="1" type="noConversion"/>
  </si>
  <si>
    <t>牛人鸡王挑一篮花生</t>
    <phoneticPr fontId="1" type="noConversion"/>
  </si>
  <si>
    <t>疗伤</t>
    <phoneticPr fontId="1" type="noConversion"/>
  </si>
  <si>
    <t>土木童不借钱疗伤</t>
    <phoneticPr fontId="1" type="noConversion"/>
  </si>
  <si>
    <t>破血</t>
    <phoneticPr fontId="1" type="noConversion"/>
  </si>
  <si>
    <t>穿梭 疆域 想要 灵通</t>
    <phoneticPr fontId="1" type="noConversion"/>
  </si>
  <si>
    <t>川索 姜郁 香药 灵痛</t>
    <phoneticPr fontId="1" type="noConversion"/>
  </si>
  <si>
    <t>指甲破三术</t>
    <phoneticPr fontId="1" type="noConversion"/>
  </si>
  <si>
    <t>水蛭 三棱 莪术</t>
    <phoneticPr fontId="1" type="noConversion"/>
  </si>
  <si>
    <t>金鱼脸凉</t>
    <phoneticPr fontId="1" type="noConversion"/>
  </si>
  <si>
    <t>地狱剂量 茅厕坏</t>
    <phoneticPr fontId="1" type="noConversion"/>
  </si>
  <si>
    <t>地狱蓟凉 槐</t>
    <phoneticPr fontId="1" type="noConversion"/>
  </si>
  <si>
    <t>仙鹤急收炭</t>
    <phoneticPr fontId="1" type="noConversion"/>
  </si>
  <si>
    <t>痛经颇伤</t>
    <phoneticPr fontId="1" type="noConversion"/>
  </si>
  <si>
    <t>雷君苦练飞虫兵</t>
    <phoneticPr fontId="1" type="noConversion"/>
  </si>
  <si>
    <t>三仙来盗鸡</t>
    <phoneticPr fontId="1" type="noConversion"/>
  </si>
  <si>
    <t>4香3皮3子黑白手</t>
    <phoneticPr fontId="1" type="noConversion"/>
  </si>
  <si>
    <t>贵妇闻酱香猪脚</t>
    <phoneticPr fontId="1" type="noConversion"/>
  </si>
  <si>
    <t>茱</t>
    <phoneticPr fontId="1" type="noConversion"/>
  </si>
  <si>
    <t>猪仔夫人想家种瓜皮</t>
    <phoneticPr fontId="1" type="noConversion"/>
  </si>
  <si>
    <t>泽 仁 香加皮 肿</t>
    <phoneticPr fontId="1" type="noConversion"/>
  </si>
  <si>
    <t>护黄金城</t>
    <phoneticPr fontId="1" type="noConversion"/>
  </si>
  <si>
    <t>统领去碧海试吃华夫饼</t>
    <phoneticPr fontId="1" type="noConversion"/>
  </si>
  <si>
    <t>瞿 萆 石 车 滑 肤 萹</t>
    <phoneticPr fontId="1" type="noConversion"/>
  </si>
  <si>
    <t>后仓配货湿炒豆沙</t>
    <phoneticPr fontId="1" type="noConversion"/>
  </si>
  <si>
    <t>厚苍佩藿 草果 白豆蔻 砂</t>
    <phoneticPr fontId="1" type="noConversion"/>
  </si>
  <si>
    <t>丧家狗</t>
    <phoneticPr fontId="1" type="noConversion"/>
  </si>
  <si>
    <t>巫毒仙刮舌喊疼</t>
    <phoneticPr fontId="1" type="noConversion"/>
  </si>
  <si>
    <t>乌 蛇 藤</t>
    <phoneticPr fontId="1" type="noConversion"/>
  </si>
  <si>
    <t>关节纠结疼</t>
    <phoneticPr fontId="1" type="noConversion"/>
  </si>
  <si>
    <t>上肢 豨莶草 艽 己 藤</t>
    <phoneticPr fontId="1" type="noConversion"/>
  </si>
  <si>
    <t>牵牛花挤碎水痘</t>
    <phoneticPr fontId="1" type="noConversion"/>
  </si>
  <si>
    <t>大小叶下荟</t>
    <phoneticPr fontId="1" type="noConversion"/>
  </si>
  <si>
    <t>荆防姜苏麻桂香
藁白羌活细辛苍</t>
    <phoneticPr fontId="1" type="noConversion"/>
  </si>
  <si>
    <t xml:space="preserve">桑菊漫谈 割生菜 馋和牛 </t>
    <phoneticPr fontId="1" type="noConversion"/>
  </si>
  <si>
    <t>蔓 淡 葛升柴 蝉 荷</t>
    <phoneticPr fontId="1" type="noConversion"/>
  </si>
  <si>
    <t>青白地银胡虚</t>
    <phoneticPr fontId="1" type="noConversion"/>
  </si>
  <si>
    <t>紫水牛悬梁吃蛋黄</t>
    <phoneticPr fontId="1" type="noConversion"/>
  </si>
  <si>
    <t>玄 凉 赤 丹 生地黄</t>
    <phoneticPr fontId="1" type="noConversion"/>
  </si>
  <si>
    <t>3黄2皮龙胆草 苦参</t>
    <phoneticPr fontId="1" type="noConversion"/>
  </si>
  <si>
    <t>十亩栀子淡 夏天炉火明</t>
    <phoneticPr fontId="1" type="noConversion"/>
  </si>
  <si>
    <t>咽尿痢 动物
病理产物 痰湿痈
风肝血
斑脸紫</t>
    <phoneticPr fontId="1" type="noConversion"/>
  </si>
  <si>
    <t>寒热骨</t>
    <phoneticPr fontId="1" type="noConversion"/>
  </si>
  <si>
    <t>寒热咳</t>
    <phoneticPr fontId="1" type="noConversion"/>
  </si>
  <si>
    <t>退荒种林</t>
    <phoneticPr fontId="1" type="noConversion"/>
  </si>
  <si>
    <t>37 普降千花雨</t>
    <phoneticPr fontId="1" type="noConversion"/>
  </si>
  <si>
    <t>蒲 茜</t>
    <phoneticPr fontId="1" type="noConversion"/>
  </si>
  <si>
    <t>方</t>
    <phoneticPr fontId="1" type="noConversion"/>
  </si>
  <si>
    <t>功用</t>
    <phoneticPr fontId="1" type="noConversion"/>
  </si>
  <si>
    <t>主治</t>
    <phoneticPr fontId="1" type="noConversion"/>
  </si>
  <si>
    <t>组成</t>
    <phoneticPr fontId="1" type="noConversion"/>
  </si>
  <si>
    <t>配伍</t>
    <phoneticPr fontId="1" type="noConversion"/>
  </si>
  <si>
    <t>大承气汤</t>
    <phoneticPr fontId="1" type="noConversion"/>
  </si>
  <si>
    <t>寒温/水+-/攻补</t>
    <phoneticPr fontId="1" type="noConversion"/>
  </si>
  <si>
    <t>阳明腑实
热结旁流
热厥</t>
    <phoneticPr fontId="1" type="noConversion"/>
  </si>
  <si>
    <t>基本组成 
大黄 芒硝</t>
    <phoneticPr fontId="1" type="noConversion"/>
  </si>
  <si>
    <t>+ 厚朴 枳实</t>
    <phoneticPr fontId="1" type="noConversion"/>
  </si>
  <si>
    <t>大黄牡丹汤</t>
    <phoneticPr fontId="1" type="noConversion"/>
  </si>
  <si>
    <t>肠痈</t>
    <phoneticPr fontId="1" type="noConversion"/>
  </si>
  <si>
    <t>大陷胸汤</t>
    <phoneticPr fontId="1" type="noConversion"/>
  </si>
  <si>
    <t>水</t>
    <phoneticPr fontId="1" type="noConversion"/>
  </si>
  <si>
    <t>泄热逐水</t>
    <phoneticPr fontId="1" type="noConversion"/>
  </si>
  <si>
    <t>+ 甘遂</t>
    <phoneticPr fontId="1" type="noConversion"/>
  </si>
  <si>
    <t>温</t>
    <phoneticPr fontId="1" type="noConversion"/>
  </si>
  <si>
    <t>温脾汤</t>
    <phoneticPr fontId="1" type="noConversion"/>
  </si>
  <si>
    <t>润</t>
    <phoneticPr fontId="1" type="noConversion"/>
  </si>
  <si>
    <t>麻子仁丸</t>
    <phoneticPr fontId="1" type="noConversion"/>
  </si>
  <si>
    <t>行气</t>
    <phoneticPr fontId="1" type="noConversion"/>
  </si>
  <si>
    <t>济川煎</t>
    <phoneticPr fontId="1" type="noConversion"/>
  </si>
  <si>
    <t>十枣汤</t>
    <phoneticPr fontId="1" type="noConversion"/>
  </si>
  <si>
    <t>攻补</t>
    <phoneticPr fontId="1" type="noConversion"/>
  </si>
  <si>
    <t>黄龙汤</t>
    <phoneticPr fontId="1" type="noConversion"/>
  </si>
  <si>
    <t>和解</t>
    <phoneticPr fontId="1" type="noConversion"/>
  </si>
  <si>
    <t>少阳</t>
    <phoneticPr fontId="1" type="noConversion"/>
  </si>
  <si>
    <t>小柴胡</t>
    <phoneticPr fontId="1" type="noConversion"/>
  </si>
  <si>
    <t>木 木土 土</t>
    <phoneticPr fontId="1" type="noConversion"/>
  </si>
  <si>
    <t>六合</t>
    <phoneticPr fontId="1" type="noConversion"/>
  </si>
  <si>
    <t>蒿芩清胆汤</t>
    <phoneticPr fontId="1" type="noConversion"/>
  </si>
  <si>
    <t>清胆利湿 和胃化痰</t>
    <phoneticPr fontId="1" type="noConversion"/>
  </si>
  <si>
    <t>肝脾</t>
    <phoneticPr fontId="1" type="noConversion"/>
  </si>
  <si>
    <t>四逆散</t>
    <phoneticPr fontId="1" type="noConversion"/>
  </si>
  <si>
    <t>透</t>
    <phoneticPr fontId="1" type="noConversion"/>
  </si>
  <si>
    <t>透邪解淤</t>
    <phoneticPr fontId="1" type="noConversion"/>
  </si>
  <si>
    <t>偷死你 学逍遥</t>
    <phoneticPr fontId="1" type="noConversion"/>
  </si>
  <si>
    <t>逍遥散</t>
    <phoneticPr fontId="1" type="noConversion"/>
  </si>
  <si>
    <t>养血</t>
    <phoneticPr fontId="1" type="noConversion"/>
  </si>
  <si>
    <t>痛泻要方</t>
    <phoneticPr fontId="1" type="noConversion"/>
  </si>
  <si>
    <t>祛湿止泻</t>
    <phoneticPr fontId="1" type="noConversion"/>
  </si>
  <si>
    <t>肠胃</t>
    <phoneticPr fontId="1" type="noConversion"/>
  </si>
  <si>
    <t>半夏泻心汤</t>
    <phoneticPr fontId="1" type="noConversion"/>
  </si>
  <si>
    <t>寒热 痞</t>
    <phoneticPr fontId="1" type="noConversion"/>
  </si>
  <si>
    <t>白虎汤</t>
    <phoneticPr fontId="1" type="noConversion"/>
  </si>
  <si>
    <t>生津</t>
    <phoneticPr fontId="1" type="noConversion"/>
  </si>
  <si>
    <t>一起 17 清热</t>
    <phoneticPr fontId="1" type="noConversion"/>
  </si>
  <si>
    <t>石膏 知母</t>
    <phoneticPr fontId="1" type="noConversion"/>
  </si>
  <si>
    <t>竹叶石膏汤</t>
    <phoneticPr fontId="1" type="noConversion"/>
  </si>
  <si>
    <t>益气</t>
    <phoneticPr fontId="1" type="noConversion"/>
  </si>
  <si>
    <t>气逆欲呕</t>
    <phoneticPr fontId="1" type="noConversion"/>
  </si>
  <si>
    <t>滋阴 ~ 清暑益气汤</t>
    <phoneticPr fontId="1" type="noConversion"/>
  </si>
  <si>
    <t>青蒿鳖甲汤</t>
    <phoneticPr fontId="1" type="noConversion"/>
  </si>
  <si>
    <t>养阴</t>
    <phoneticPr fontId="1" type="noConversion"/>
  </si>
  <si>
    <t>透热</t>
    <phoneticPr fontId="1" type="noConversion"/>
  </si>
  <si>
    <t>当归六黄汤</t>
    <phoneticPr fontId="1" type="noConversion"/>
  </si>
  <si>
    <t>止汗</t>
    <phoneticPr fontId="1" type="noConversion"/>
  </si>
  <si>
    <t>营</t>
    <phoneticPr fontId="1" type="noConversion"/>
  </si>
  <si>
    <t>清营汤</t>
    <phoneticPr fontId="1" type="noConversion"/>
  </si>
  <si>
    <t>犀角地黄汤</t>
    <phoneticPr fontId="1" type="noConversion"/>
  </si>
  <si>
    <t>凉血散瘀</t>
    <phoneticPr fontId="1" type="noConversion"/>
  </si>
  <si>
    <t>黄连解毒汤</t>
    <phoneticPr fontId="1" type="noConversion"/>
  </si>
  <si>
    <t>三黄 栀子</t>
    <phoneticPr fontId="1" type="noConversion"/>
  </si>
  <si>
    <t>普济消毒饮</t>
    <phoneticPr fontId="1" type="noConversion"/>
  </si>
  <si>
    <t>大头瘟</t>
    <phoneticPr fontId="1" type="noConversion"/>
  </si>
  <si>
    <t>凉膈散</t>
    <phoneticPr fontId="1" type="noConversion"/>
  </si>
  <si>
    <t>上下</t>
    <phoneticPr fontId="1" type="noConversion"/>
  </si>
  <si>
    <t>清上泄下</t>
    <phoneticPr fontId="1" type="noConversion"/>
  </si>
  <si>
    <t>膈 上下</t>
    <phoneticPr fontId="1" type="noConversion"/>
  </si>
  <si>
    <t>脏</t>
    <phoneticPr fontId="1" type="noConversion"/>
  </si>
  <si>
    <t>导赤散</t>
    <phoneticPr fontId="1" type="noConversion"/>
  </si>
  <si>
    <t>心</t>
    <phoneticPr fontId="1" type="noConversion"/>
  </si>
  <si>
    <t>泻白散</t>
    <phoneticPr fontId="1" type="noConversion"/>
  </si>
  <si>
    <t>龙胆泻肝汤</t>
    <phoneticPr fontId="1" type="noConversion"/>
  </si>
  <si>
    <t>实</t>
    <phoneticPr fontId="1" type="noConversion"/>
  </si>
  <si>
    <t>实火 湿热</t>
    <phoneticPr fontId="1" type="noConversion"/>
  </si>
  <si>
    <t>左金丸</t>
    <phoneticPr fontId="1" type="noConversion"/>
  </si>
  <si>
    <t>肝火</t>
    <phoneticPr fontId="1" type="noConversion"/>
  </si>
  <si>
    <t>金克木 肝火犯胃吐</t>
    <phoneticPr fontId="1" type="noConversion"/>
  </si>
  <si>
    <t>清胃散</t>
    <phoneticPr fontId="1" type="noConversion"/>
  </si>
  <si>
    <t>积热</t>
    <phoneticPr fontId="1" type="noConversion"/>
  </si>
  <si>
    <t>玉女煎</t>
    <phoneticPr fontId="1" type="noConversion"/>
  </si>
  <si>
    <t>肾阴</t>
    <phoneticPr fontId="1" type="noConversion"/>
  </si>
  <si>
    <t>芍药汤</t>
    <phoneticPr fontId="1" type="noConversion"/>
  </si>
  <si>
    <t>肠</t>
    <phoneticPr fontId="1" type="noConversion"/>
  </si>
  <si>
    <t>调气血</t>
    <phoneticPr fontId="1" type="noConversion"/>
  </si>
  <si>
    <t>湿热痢</t>
    <phoneticPr fontId="1" type="noConversion"/>
  </si>
  <si>
    <t>白头翁汤</t>
    <phoneticPr fontId="1" type="noConversion"/>
  </si>
  <si>
    <t>止痢</t>
    <phoneticPr fontId="1" type="noConversion"/>
  </si>
  <si>
    <t>热毒痢</t>
    <phoneticPr fontId="1" type="noConversion"/>
  </si>
  <si>
    <t>祛暑</t>
    <phoneticPr fontId="1" type="noConversion"/>
  </si>
  <si>
    <t>香薷散</t>
    <phoneticPr fontId="1" type="noConversion"/>
  </si>
  <si>
    <t>阴暑</t>
    <phoneticPr fontId="1" type="noConversion"/>
  </si>
  <si>
    <t>利湿</t>
    <phoneticPr fontId="1" type="noConversion"/>
  </si>
  <si>
    <t>六一散</t>
    <phoneticPr fontId="1" type="noConversion"/>
  </si>
  <si>
    <t>尿 泻</t>
    <phoneticPr fontId="1" type="noConversion"/>
  </si>
  <si>
    <t>清暑益气</t>
    <phoneticPr fontId="1" type="noConversion"/>
  </si>
  <si>
    <t>清暑益气汤</t>
    <phoneticPr fontId="1" type="noConversion"/>
  </si>
  <si>
    <t>气阴两伤</t>
    <phoneticPr fontId="1" type="noConversion"/>
  </si>
  <si>
    <t>回阳</t>
    <phoneticPr fontId="1" type="noConversion"/>
  </si>
  <si>
    <t>四逆汤</t>
    <phoneticPr fontId="1" type="noConversion"/>
  </si>
  <si>
    <t>温经散寒</t>
    <phoneticPr fontId="1" type="noConversion"/>
  </si>
  <si>
    <t>当归四逆汤</t>
    <phoneticPr fontId="1" type="noConversion"/>
  </si>
  <si>
    <t>暖肝煎</t>
    <phoneticPr fontId="1" type="noConversion"/>
  </si>
  <si>
    <t>温中祛寒</t>
    <phoneticPr fontId="1" type="noConversion"/>
  </si>
  <si>
    <t>小建中汤</t>
    <phoneticPr fontId="1" type="noConversion"/>
  </si>
  <si>
    <t>缓急</t>
    <phoneticPr fontId="1" type="noConversion"/>
  </si>
  <si>
    <t>大建中汤</t>
    <phoneticPr fontId="1" type="noConversion"/>
  </si>
  <si>
    <t>吴茱萸汤</t>
    <phoneticPr fontId="1" type="noConversion"/>
  </si>
  <si>
    <t>理中丸</t>
    <phoneticPr fontId="1" type="noConversion"/>
  </si>
  <si>
    <t>脾胃虚寒
失血
胸痹
霍乱
惊
沫</t>
    <phoneticPr fontId="1" type="noConversion"/>
  </si>
  <si>
    <t>表里双解</t>
    <phoneticPr fontId="1" type="noConversion"/>
  </si>
  <si>
    <t>攻里</t>
    <phoneticPr fontId="1" type="noConversion"/>
  </si>
  <si>
    <t>大柴胡汤</t>
    <phoneticPr fontId="1" type="noConversion"/>
  </si>
  <si>
    <t>柴胡都和解少阳</t>
    <phoneticPr fontId="1" type="noConversion"/>
  </si>
  <si>
    <t>防风通圣散</t>
    <phoneticPr fontId="1" type="noConversion"/>
  </si>
  <si>
    <t>泄热 通便</t>
    <phoneticPr fontId="1" type="noConversion"/>
  </si>
  <si>
    <t>清里</t>
    <phoneticPr fontId="1" type="noConversion"/>
  </si>
  <si>
    <t>葛根黄芩黄连汤</t>
    <phoneticPr fontId="1" type="noConversion"/>
  </si>
  <si>
    <t>都解表</t>
    <phoneticPr fontId="1" type="noConversion"/>
  </si>
  <si>
    <t>扶正</t>
    <phoneticPr fontId="1" type="noConversion"/>
  </si>
  <si>
    <t>败毒散</t>
    <phoneticPr fontId="1" type="noConversion"/>
  </si>
  <si>
    <t>都益气</t>
    <phoneticPr fontId="1" type="noConversion"/>
  </si>
  <si>
    <t>寒湿</t>
    <phoneticPr fontId="1" type="noConversion"/>
  </si>
  <si>
    <t>参苏饮</t>
    <phoneticPr fontId="1" type="noConversion"/>
  </si>
  <si>
    <t>凉</t>
    <phoneticPr fontId="1" type="noConversion"/>
  </si>
  <si>
    <t>桑菊饮</t>
    <phoneticPr fontId="1" type="noConversion"/>
  </si>
  <si>
    <t>轻</t>
    <phoneticPr fontId="1" type="noConversion"/>
  </si>
  <si>
    <t>清热解毒</t>
    <phoneticPr fontId="1" type="noConversion"/>
  </si>
  <si>
    <t>温病初起</t>
    <phoneticPr fontId="1" type="noConversion"/>
  </si>
  <si>
    <t>连翘如何炒梗</t>
    <phoneticPr fontId="1" type="noConversion"/>
  </si>
  <si>
    <t>银翘散</t>
    <phoneticPr fontId="1" type="noConversion"/>
  </si>
  <si>
    <t>平</t>
    <phoneticPr fontId="1" type="noConversion"/>
  </si>
  <si>
    <t>麻杏石甘汤</t>
    <phoneticPr fontId="1" type="noConversion"/>
  </si>
  <si>
    <t>重</t>
    <phoneticPr fontId="1" type="noConversion"/>
  </si>
  <si>
    <t>柴葛解肌汤</t>
    <phoneticPr fontId="1" type="noConversion"/>
  </si>
  <si>
    <t>麻黄汤</t>
    <phoneticPr fontId="1" type="noConversion"/>
  </si>
  <si>
    <t>无汗</t>
    <phoneticPr fontId="1" type="noConversion"/>
  </si>
  <si>
    <t>桂枝汤</t>
    <phoneticPr fontId="1" type="noConversion"/>
  </si>
  <si>
    <t>营卫</t>
    <phoneticPr fontId="1" type="noConversion"/>
  </si>
  <si>
    <t>小青龙汤</t>
    <phoneticPr fontId="1" type="noConversion"/>
  </si>
  <si>
    <t>饮</t>
    <phoneticPr fontId="1" type="noConversion"/>
  </si>
  <si>
    <t>大青龙汤</t>
    <phoneticPr fontId="1" type="noConversion"/>
  </si>
  <si>
    <t>郁热</t>
    <phoneticPr fontId="1" type="noConversion"/>
  </si>
  <si>
    <t>渴</t>
    <phoneticPr fontId="1" type="noConversion"/>
  </si>
  <si>
    <t>麻黄6两</t>
    <phoneticPr fontId="1" type="noConversion"/>
  </si>
  <si>
    <t>九味羌活汤</t>
    <phoneticPr fontId="1" type="noConversion"/>
  </si>
  <si>
    <t>湿 热</t>
    <phoneticPr fontId="1" type="noConversion"/>
  </si>
  <si>
    <t>止嗽散</t>
    <phoneticPr fontId="1" type="noConversion"/>
  </si>
  <si>
    <t>利气</t>
    <phoneticPr fontId="1" type="noConversion"/>
  </si>
  <si>
    <t>乌梅丸</t>
    <phoneticPr fontId="1" type="noConversion"/>
  </si>
  <si>
    <t>健脾宝岛</t>
    <phoneticPr fontId="1" type="noConversion"/>
  </si>
  <si>
    <t>安神枣天珠</t>
    <phoneticPr fontId="1" type="noConversion"/>
  </si>
  <si>
    <t>情歌皇打通宫里</t>
    <phoneticPr fontId="1" type="noConversion"/>
  </si>
  <si>
    <t>清 葛黄 大 攻里</t>
    <phoneticPr fontId="1" type="noConversion"/>
  </si>
  <si>
    <t>61如暑</t>
    <phoneticPr fontId="1" type="noConversion"/>
  </si>
  <si>
    <t>温和保子宫</t>
    <phoneticPr fontId="1" type="noConversion"/>
  </si>
  <si>
    <t>合宝紫</t>
    <phoneticPr fontId="1" type="noConversion"/>
  </si>
  <si>
    <t>母羊尾鲜</t>
    <phoneticPr fontId="1" type="noConversion"/>
  </si>
  <si>
    <t>牡阳韦仙</t>
    <phoneticPr fontId="1" type="noConversion"/>
  </si>
  <si>
    <t>四校童鞋好菜拌蟹</t>
    <phoneticPr fontId="1" type="noConversion"/>
  </si>
  <si>
    <t>逍痛泻蒿柴半泻</t>
    <phoneticPr fontId="1" type="noConversion"/>
  </si>
  <si>
    <t>大小建中吴茱萸 四逆归逆暖肝经</t>
    <phoneticPr fontId="1" type="noConversion"/>
  </si>
  <si>
    <t>治燥</t>
    <phoneticPr fontId="1" type="noConversion"/>
  </si>
  <si>
    <t>轻宣</t>
    <phoneticPr fontId="1" type="noConversion"/>
  </si>
  <si>
    <t>Susan桑心选清酒</t>
    <phoneticPr fontId="1" type="noConversion"/>
  </si>
  <si>
    <t>苏散桑杏宣清救</t>
    <phoneticPr fontId="1" type="noConversion"/>
  </si>
  <si>
    <t>滋阴</t>
    <phoneticPr fontId="1" type="noConversion"/>
  </si>
  <si>
    <t>曾阴雨夜卖百合</t>
    <phoneticPr fontId="1" type="noConversion"/>
  </si>
  <si>
    <t>增 玉液麦</t>
    <phoneticPr fontId="1" type="noConversion"/>
  </si>
  <si>
    <t>黄皮骑熊找麻吉</t>
    <phoneticPr fontId="1" type="noConversion"/>
  </si>
  <si>
    <t>脾 气 胸 枣 济</t>
    <phoneticPr fontId="1" type="noConversion"/>
  </si>
  <si>
    <t>固涩</t>
    <phoneticPr fontId="1" type="noConversion"/>
  </si>
  <si>
    <t>飙汗非常带劲
真神仙 牡蛎螵蛸黄虫精</t>
    <phoneticPr fontId="1" type="noConversion"/>
  </si>
  <si>
    <t>表汗肺肠带精
冲 经</t>
    <phoneticPr fontId="1" type="noConversion"/>
  </si>
  <si>
    <t>祛痰</t>
    <phoneticPr fontId="1" type="noConversion"/>
  </si>
  <si>
    <t>喊35 热情胸 疯半天 枣瓜 十2担</t>
    <phoneticPr fontId="1" type="noConversion"/>
  </si>
  <si>
    <t>寒 清胸 风 燥 湿 胆</t>
    <phoneticPr fontId="1" type="noConversion"/>
  </si>
  <si>
    <t>六邪无火</t>
    <phoneticPr fontId="1" type="noConversion"/>
  </si>
  <si>
    <t>治风</t>
    <phoneticPr fontId="1" type="noConversion"/>
  </si>
  <si>
    <t>传销挣钱 大小婚外情 镇内嚼大麻</t>
    <phoneticPr fontId="1" type="noConversion"/>
  </si>
  <si>
    <t>川 消 牵正 大秦 小活 角</t>
    <phoneticPr fontId="1" type="noConversion"/>
  </si>
  <si>
    <t>大小3散</t>
    <phoneticPr fontId="1" type="noConversion"/>
  </si>
  <si>
    <t>破财行乞黑白剧</t>
    <phoneticPr fontId="1" type="noConversion"/>
  </si>
  <si>
    <t>朴柴行气鞠</t>
    <phoneticPr fontId="1" type="noConversion"/>
  </si>
  <si>
    <t>降气</t>
    <phoneticPr fontId="1" type="noConversion"/>
  </si>
  <si>
    <t>选定江苏</t>
    <phoneticPr fontId="1" type="noConversion"/>
  </si>
  <si>
    <t>旋 降</t>
    <phoneticPr fontId="1" type="noConversion"/>
  </si>
  <si>
    <t>败毒参苏</t>
    <phoneticPr fontId="1" type="noConversion"/>
  </si>
  <si>
    <t>商人妈拾柴</t>
    <phoneticPr fontId="1" type="noConversion"/>
  </si>
  <si>
    <t>桑银麻石柴</t>
    <phoneticPr fontId="1" type="noConversion"/>
  </si>
  <si>
    <t>麻桂九只大小龙</t>
    <phoneticPr fontId="1" type="noConversion"/>
  </si>
  <si>
    <t>止</t>
    <phoneticPr fontId="1" type="noConversion"/>
  </si>
  <si>
    <t>理血</t>
    <phoneticPr fontId="1" type="noConversion"/>
  </si>
  <si>
    <t xml:space="preserve"> 活学5不问 生肖 灵龟与桃符</t>
    <phoneticPr fontId="1" type="noConversion"/>
  </si>
  <si>
    <t>活血 补5 温 逍 桂苓 淤 复</t>
    <phoneticPr fontId="1" type="noConversion"/>
  </si>
  <si>
    <t>石灰止几棵黄花</t>
    <phoneticPr fontId="1" type="noConversion"/>
  </si>
  <si>
    <t xml:space="preserve">十灰 蓟 咳 槐 </t>
    <phoneticPr fontId="1" type="noConversion"/>
  </si>
  <si>
    <t>脏气虚应解毒</t>
    <phoneticPr fontId="1" type="noConversion"/>
  </si>
  <si>
    <t>齐白石</t>
    <phoneticPr fontId="1" type="noConversion"/>
  </si>
  <si>
    <t>脚轻盈</t>
    <phoneticPr fontId="1" type="noConversion"/>
  </si>
  <si>
    <t>角清营</t>
    <phoneticPr fontId="1" type="noConversion"/>
  </si>
  <si>
    <t>好鳖需遛</t>
    <phoneticPr fontId="1" type="noConversion"/>
  </si>
  <si>
    <t>蒿 虚 六</t>
    <phoneticPr fontId="1" type="noConversion"/>
  </si>
  <si>
    <t>脸谱隔毒</t>
    <phoneticPr fontId="1" type="noConversion"/>
  </si>
  <si>
    <t>连普膈</t>
    <phoneticPr fontId="1" type="noConversion"/>
  </si>
  <si>
    <t>金龙请少女吃白头蟹</t>
    <phoneticPr fontId="1" type="noConversion"/>
  </si>
  <si>
    <t>清 芍 赤 泻</t>
    <phoneticPr fontId="1" type="noConversion"/>
  </si>
  <si>
    <t>补益</t>
    <phoneticPr fontId="1" type="noConversion"/>
  </si>
  <si>
    <t>四君苓术不生风</t>
    <phoneticPr fontId="1" type="noConversion"/>
  </si>
  <si>
    <t>补</t>
    <phoneticPr fontId="1" type="noConversion"/>
  </si>
  <si>
    <t>气血</t>
    <phoneticPr fontId="1" type="noConversion"/>
  </si>
  <si>
    <t>大六左一</t>
    <phoneticPr fontId="1" type="noConversion"/>
  </si>
  <si>
    <t>阴阳</t>
    <phoneticPr fontId="1" type="noConversion"/>
  </si>
  <si>
    <t>祛湿</t>
    <phoneticPr fontId="1" type="noConversion"/>
  </si>
  <si>
    <t>独枪007必带香味</t>
    <phoneticPr fontId="1" type="noConversion"/>
  </si>
  <si>
    <t>羌 苓 苓 芪 萆 胃</t>
    <phoneticPr fontId="1" type="noConversion"/>
  </si>
  <si>
    <t>2活</t>
    <phoneticPr fontId="1" type="noConversion"/>
  </si>
  <si>
    <t>猪肝真无皮</t>
    <phoneticPr fontId="1" type="noConversion"/>
  </si>
  <si>
    <t>术甘真武脾</t>
    <phoneticPr fontId="1" type="noConversion"/>
  </si>
  <si>
    <t>0 0 7</t>
    <phoneticPr fontId="1" type="noConversion"/>
  </si>
  <si>
    <t>苓 苓 己芪</t>
    <phoneticPr fontId="1" type="noConversion"/>
  </si>
  <si>
    <t>浊</t>
    <phoneticPr fontId="1" type="noConversion"/>
  </si>
  <si>
    <t>完毕</t>
    <phoneticPr fontId="1" type="noConversion"/>
  </si>
  <si>
    <t>萆</t>
    <phoneticPr fontId="1" type="noConversion"/>
  </si>
  <si>
    <t>燥</t>
    <phoneticPr fontId="1" type="noConversion"/>
  </si>
  <si>
    <t>品味香</t>
    <phoneticPr fontId="1" type="noConversion"/>
  </si>
  <si>
    <t>平胃</t>
    <phoneticPr fontId="1" type="noConversion"/>
  </si>
  <si>
    <t>238妙人镇 当年赶路印脸谱</t>
    <phoneticPr fontId="1" type="noConversion"/>
  </si>
  <si>
    <t>仁正 当拈赶路茵连朴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</si>
</sst>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微软雅黑"/>
      <family val="2"/>
      <charset val="134"/>
    </font>
    <font>
      <sz val="9"/>
      <name val="微软雅黑"/>
      <family val="2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quotePrefix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C7EDCC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4F7F5-97E8-4D45-8162-E3186C4160B9}">
  <dimension ref="A1:L185"/>
  <sheetViews>
    <sheetView workbookViewId="0">
      <pane ySplit="1" topLeftCell="A180" activePane="bottomLeft" state="frozen"/>
      <selection activeCell="B1" sqref="B1"/>
      <selection pane="bottomLeft" activeCell="E203" sqref="E203"/>
    </sheetView>
  </sheetViews>
  <sheetFormatPr defaultRowHeight="17.399999999999999" x14ac:dyDescent="0.4"/>
  <cols>
    <col min="1" max="2" width="8.6640625" style="1"/>
    <col min="3" max="3" width="3.58203125" style="1" customWidth="1"/>
    <col min="4" max="5" width="8.6640625" style="1"/>
    <col min="6" max="6" width="11.83203125" style="1" bestFit="1" customWidth="1"/>
    <col min="7" max="7" width="10" style="1" customWidth="1"/>
    <col min="8" max="8" width="8.6640625" style="1"/>
    <col min="9" max="9" width="22.5" style="1" customWidth="1"/>
    <col min="10" max="10" width="29.5" style="1" bestFit="1" customWidth="1"/>
    <col min="11" max="11" width="8.6640625" style="1"/>
    <col min="13" max="16384" width="8.6640625" style="1"/>
  </cols>
  <sheetData>
    <row r="1" spans="1:11" x14ac:dyDescent="0.4">
      <c r="B1" s="1" t="s">
        <v>16</v>
      </c>
      <c r="D1" s="1" t="s">
        <v>0</v>
      </c>
      <c r="E1" s="1" t="s">
        <v>17</v>
      </c>
      <c r="F1" s="1" t="s">
        <v>145</v>
      </c>
      <c r="G1" s="1" t="s">
        <v>18</v>
      </c>
      <c r="H1" s="1" t="s">
        <v>23</v>
      </c>
      <c r="I1" s="1" t="s">
        <v>146</v>
      </c>
      <c r="J1" s="1" t="s">
        <v>19</v>
      </c>
      <c r="K1" s="1" t="s">
        <v>302</v>
      </c>
    </row>
    <row r="2" spans="1:11" x14ac:dyDescent="0.4">
      <c r="A2" s="1" t="s">
        <v>32</v>
      </c>
      <c r="B2" s="1" t="s">
        <v>6</v>
      </c>
      <c r="C2" s="1">
        <v>3</v>
      </c>
      <c r="D2" s="1" t="s">
        <v>7</v>
      </c>
    </row>
    <row r="3" spans="1:11" x14ac:dyDescent="0.4">
      <c r="A3" s="1" t="s">
        <v>32</v>
      </c>
      <c r="B3" s="1" t="s">
        <v>6</v>
      </c>
      <c r="C3" s="1">
        <v>3</v>
      </c>
      <c r="D3" s="1" t="s">
        <v>8</v>
      </c>
      <c r="G3" s="1" t="s">
        <v>25</v>
      </c>
    </row>
    <row r="4" spans="1:11" x14ac:dyDescent="0.4">
      <c r="A4" s="1" t="s">
        <v>32</v>
      </c>
      <c r="B4" s="1" t="s">
        <v>6</v>
      </c>
      <c r="C4" s="1">
        <v>3</v>
      </c>
      <c r="D4" s="1" t="s">
        <v>9</v>
      </c>
      <c r="G4" s="1" t="s">
        <v>26</v>
      </c>
    </row>
    <row r="5" spans="1:11" x14ac:dyDescent="0.4">
      <c r="A5" s="1" t="s">
        <v>32</v>
      </c>
      <c r="B5" s="1" t="s">
        <v>1</v>
      </c>
      <c r="C5" s="1">
        <v>4</v>
      </c>
      <c r="D5" s="1" t="s">
        <v>2</v>
      </c>
      <c r="G5" s="1" t="s">
        <v>25</v>
      </c>
    </row>
    <row r="6" spans="1:11" x14ac:dyDescent="0.4">
      <c r="A6" s="1" t="s">
        <v>32</v>
      </c>
      <c r="B6" s="1" t="s">
        <v>1</v>
      </c>
      <c r="C6" s="1">
        <v>4</v>
      </c>
      <c r="D6" s="1" t="s">
        <v>3</v>
      </c>
      <c r="G6" s="1" t="s">
        <v>27</v>
      </c>
      <c r="J6" s="1" t="s">
        <v>28</v>
      </c>
    </row>
    <row r="7" spans="1:11" x14ac:dyDescent="0.4">
      <c r="A7" s="1" t="s">
        <v>32</v>
      </c>
      <c r="B7" s="1" t="s">
        <v>1</v>
      </c>
      <c r="C7" s="1">
        <v>4</v>
      </c>
      <c r="D7" s="1" t="s">
        <v>4</v>
      </c>
      <c r="G7" s="1" t="s">
        <v>29</v>
      </c>
    </row>
    <row r="8" spans="1:11" ht="52.2" x14ac:dyDescent="0.4">
      <c r="A8" s="1" t="s">
        <v>32</v>
      </c>
      <c r="B8" s="1" t="s">
        <v>1</v>
      </c>
      <c r="C8" s="1">
        <v>4</v>
      </c>
      <c r="D8" s="1" t="s">
        <v>5</v>
      </c>
      <c r="G8" s="1" t="s">
        <v>31</v>
      </c>
      <c r="J8" s="2" t="s">
        <v>30</v>
      </c>
    </row>
    <row r="9" spans="1:11" x14ac:dyDescent="0.4">
      <c r="A9" s="1" t="s">
        <v>32</v>
      </c>
      <c r="B9" s="1" t="s">
        <v>10</v>
      </c>
      <c r="C9" s="1">
        <v>5</v>
      </c>
      <c r="D9" s="1" t="s">
        <v>13</v>
      </c>
      <c r="E9" s="1" t="s">
        <v>21</v>
      </c>
      <c r="F9" s="1" t="s">
        <v>139</v>
      </c>
      <c r="G9" s="1" t="s">
        <v>22</v>
      </c>
    </row>
    <row r="10" spans="1:11" x14ac:dyDescent="0.4">
      <c r="A10" s="1" t="s">
        <v>32</v>
      </c>
      <c r="B10" s="1" t="s">
        <v>10</v>
      </c>
      <c r="C10" s="1">
        <v>5</v>
      </c>
      <c r="D10" s="1" t="s">
        <v>14</v>
      </c>
      <c r="E10" s="1" t="s">
        <v>21</v>
      </c>
    </row>
    <row r="11" spans="1:11" x14ac:dyDescent="0.4">
      <c r="A11" s="1" t="s">
        <v>32</v>
      </c>
      <c r="B11" s="1" t="s">
        <v>10</v>
      </c>
      <c r="C11" s="1">
        <v>5</v>
      </c>
      <c r="D11" s="1" t="s">
        <v>11</v>
      </c>
      <c r="E11" s="1" t="s">
        <v>20</v>
      </c>
    </row>
    <row r="12" spans="1:11" x14ac:dyDescent="0.4">
      <c r="A12" s="1" t="s">
        <v>32</v>
      </c>
      <c r="B12" s="1" t="s">
        <v>10</v>
      </c>
      <c r="C12" s="1">
        <v>5</v>
      </c>
      <c r="D12" s="1" t="s">
        <v>12</v>
      </c>
      <c r="E12" s="1" t="s">
        <v>20</v>
      </c>
    </row>
    <row r="13" spans="1:11" x14ac:dyDescent="0.4">
      <c r="A13" s="1" t="s">
        <v>32</v>
      </c>
      <c r="B13" s="1" t="s">
        <v>10</v>
      </c>
      <c r="C13" s="1">
        <v>5</v>
      </c>
      <c r="D13" s="1" t="s">
        <v>15</v>
      </c>
      <c r="E13" s="1" t="s">
        <v>22</v>
      </c>
      <c r="G13" s="1" t="s">
        <v>24</v>
      </c>
    </row>
    <row r="15" spans="1:11" x14ac:dyDescent="0.4">
      <c r="A15" s="1" t="s">
        <v>72</v>
      </c>
      <c r="D15" s="1" t="s">
        <v>73</v>
      </c>
      <c r="E15" s="1" t="s">
        <v>80</v>
      </c>
      <c r="G15" s="1" t="s">
        <v>84</v>
      </c>
    </row>
    <row r="16" spans="1:11" x14ac:dyDescent="0.4">
      <c r="A16" s="1" t="s">
        <v>72</v>
      </c>
      <c r="D16" s="1" t="s">
        <v>74</v>
      </c>
      <c r="E16" s="1" t="s">
        <v>80</v>
      </c>
      <c r="G16" s="1" t="s">
        <v>295</v>
      </c>
    </row>
    <row r="17" spans="1:10" x14ac:dyDescent="0.4">
      <c r="A17" s="1" t="s">
        <v>72</v>
      </c>
      <c r="D17" s="1" t="s">
        <v>75</v>
      </c>
      <c r="E17" s="1" t="s">
        <v>81</v>
      </c>
      <c r="G17" s="1" t="s">
        <v>90</v>
      </c>
      <c r="J17" s="1" t="s">
        <v>87</v>
      </c>
    </row>
    <row r="18" spans="1:10" ht="69.599999999999994" x14ac:dyDescent="0.4">
      <c r="A18" s="1" t="s">
        <v>72</v>
      </c>
      <c r="D18" s="1" t="s">
        <v>76</v>
      </c>
      <c r="E18" s="1" t="s">
        <v>81</v>
      </c>
      <c r="G18" s="1" t="s">
        <v>88</v>
      </c>
      <c r="I18" s="2" t="s">
        <v>296</v>
      </c>
      <c r="J18" s="1" t="s">
        <v>89</v>
      </c>
    </row>
    <row r="19" spans="1:10" x14ac:dyDescent="0.4">
      <c r="A19" s="1" t="s">
        <v>72</v>
      </c>
      <c r="D19" s="1" t="s">
        <v>77</v>
      </c>
      <c r="E19" s="1" t="s">
        <v>82</v>
      </c>
      <c r="F19" s="1" t="s">
        <v>297</v>
      </c>
      <c r="G19" s="1" t="s">
        <v>83</v>
      </c>
    </row>
    <row r="20" spans="1:10" x14ac:dyDescent="0.4">
      <c r="A20" s="1" t="s">
        <v>72</v>
      </c>
      <c r="D20" s="1" t="s">
        <v>78</v>
      </c>
      <c r="E20" s="1" t="s">
        <v>82</v>
      </c>
      <c r="F20" s="1" t="s">
        <v>86</v>
      </c>
      <c r="G20" s="1" t="s">
        <v>84</v>
      </c>
    </row>
    <row r="21" spans="1:10" x14ac:dyDescent="0.4">
      <c r="A21" s="1" t="s">
        <v>72</v>
      </c>
      <c r="D21" s="1" t="s">
        <v>79</v>
      </c>
      <c r="E21" s="1" t="s">
        <v>82</v>
      </c>
      <c r="G21" s="1" t="s">
        <v>85</v>
      </c>
    </row>
    <row r="23" spans="1:10" x14ac:dyDescent="0.4">
      <c r="A23" s="1" t="s">
        <v>33</v>
      </c>
      <c r="B23" s="1" t="s">
        <v>137</v>
      </c>
      <c r="C23" s="1">
        <v>7</v>
      </c>
      <c r="D23" s="1" t="s">
        <v>55</v>
      </c>
      <c r="E23" s="1" t="s">
        <v>50</v>
      </c>
      <c r="F23" s="1" t="s">
        <v>63</v>
      </c>
      <c r="G23" s="1" t="s">
        <v>67</v>
      </c>
      <c r="J23" s="1" t="s">
        <v>34</v>
      </c>
    </row>
    <row r="24" spans="1:10" x14ac:dyDescent="0.4">
      <c r="A24" s="1" t="s">
        <v>33</v>
      </c>
      <c r="B24" s="1" t="s">
        <v>137</v>
      </c>
      <c r="C24" s="1">
        <v>7</v>
      </c>
      <c r="D24" s="1" t="s">
        <v>56</v>
      </c>
      <c r="E24" s="1" t="s">
        <v>50</v>
      </c>
      <c r="G24" s="1" t="s">
        <v>66</v>
      </c>
    </row>
    <row r="25" spans="1:10" x14ac:dyDescent="0.4">
      <c r="A25" s="1" t="s">
        <v>33</v>
      </c>
      <c r="B25" s="1" t="s">
        <v>137</v>
      </c>
      <c r="C25" s="1">
        <v>7</v>
      </c>
      <c r="D25" s="1" t="s">
        <v>57</v>
      </c>
      <c r="E25" s="1" t="s">
        <v>50</v>
      </c>
      <c r="G25" s="1" t="s">
        <v>64</v>
      </c>
      <c r="J25" s="1" t="s">
        <v>65</v>
      </c>
    </row>
    <row r="26" spans="1:10" x14ac:dyDescent="0.4">
      <c r="A26" s="1" t="s">
        <v>33</v>
      </c>
      <c r="B26" s="1" t="s">
        <v>137</v>
      </c>
      <c r="C26" s="1">
        <v>7</v>
      </c>
      <c r="D26" s="1" t="s">
        <v>59</v>
      </c>
      <c r="E26" s="1" t="s">
        <v>51</v>
      </c>
      <c r="G26" s="1" t="s">
        <v>69</v>
      </c>
    </row>
    <row r="27" spans="1:10" x14ac:dyDescent="0.4">
      <c r="A27" s="1" t="s">
        <v>33</v>
      </c>
      <c r="B27" s="1" t="s">
        <v>137</v>
      </c>
      <c r="C27" s="1">
        <v>7</v>
      </c>
      <c r="D27" s="1" t="s">
        <v>60</v>
      </c>
      <c r="E27" s="1" t="s">
        <v>51</v>
      </c>
      <c r="G27" s="1" t="s">
        <v>69</v>
      </c>
    </row>
    <row r="28" spans="1:10" x14ac:dyDescent="0.4">
      <c r="A28" s="1" t="s">
        <v>33</v>
      </c>
      <c r="B28" s="1" t="s">
        <v>137</v>
      </c>
      <c r="C28" s="1">
        <v>7</v>
      </c>
      <c r="D28" s="1" t="s">
        <v>61</v>
      </c>
      <c r="E28" s="1" t="s">
        <v>51</v>
      </c>
      <c r="G28" s="1" t="s">
        <v>68</v>
      </c>
    </row>
    <row r="29" spans="1:10" x14ac:dyDescent="0.4">
      <c r="A29" s="1" t="s">
        <v>33</v>
      </c>
      <c r="B29" s="1" t="s">
        <v>137</v>
      </c>
      <c r="C29" s="1">
        <v>7</v>
      </c>
      <c r="D29" s="1" t="s">
        <v>62</v>
      </c>
      <c r="E29" s="1" t="s">
        <v>58</v>
      </c>
      <c r="G29" s="1" t="s">
        <v>71</v>
      </c>
      <c r="J29" s="1" t="s">
        <v>70</v>
      </c>
    </row>
    <row r="30" spans="1:10" x14ac:dyDescent="0.4">
      <c r="A30" s="1" t="s">
        <v>33</v>
      </c>
      <c r="B30" s="1" t="s">
        <v>138</v>
      </c>
      <c r="C30" s="1">
        <v>5</v>
      </c>
      <c r="D30" s="1" t="s">
        <v>46</v>
      </c>
      <c r="E30" s="1" t="s">
        <v>51</v>
      </c>
      <c r="F30" s="1" t="s">
        <v>140</v>
      </c>
      <c r="J30" s="1" t="s">
        <v>35</v>
      </c>
    </row>
    <row r="31" spans="1:10" x14ac:dyDescent="0.4">
      <c r="A31" s="1" t="s">
        <v>33</v>
      </c>
      <c r="B31" s="1" t="s">
        <v>138</v>
      </c>
      <c r="C31" s="1">
        <v>5</v>
      </c>
      <c r="D31" s="1" t="s">
        <v>42</v>
      </c>
      <c r="E31" s="1" t="s">
        <v>48</v>
      </c>
      <c r="F31" s="1" t="s">
        <v>47</v>
      </c>
      <c r="J31" s="1" t="s">
        <v>49</v>
      </c>
    </row>
    <row r="32" spans="1:10" x14ac:dyDescent="0.4">
      <c r="A32" s="1" t="s">
        <v>33</v>
      </c>
      <c r="B32" s="1" t="s">
        <v>138</v>
      </c>
      <c r="C32" s="1">
        <v>5</v>
      </c>
      <c r="D32" s="1" t="s">
        <v>44</v>
      </c>
      <c r="E32" s="1" t="s">
        <v>48</v>
      </c>
    </row>
    <row r="33" spans="1:10" x14ac:dyDescent="0.4">
      <c r="A33" s="1" t="s">
        <v>33</v>
      </c>
      <c r="B33" s="1" t="s">
        <v>138</v>
      </c>
      <c r="C33" s="1">
        <v>5</v>
      </c>
      <c r="D33" s="1" t="s">
        <v>43</v>
      </c>
      <c r="E33" s="1" t="s">
        <v>50</v>
      </c>
      <c r="J33" s="1" t="s">
        <v>53</v>
      </c>
    </row>
    <row r="34" spans="1:10" x14ac:dyDescent="0.4">
      <c r="A34" s="1" t="s">
        <v>33</v>
      </c>
      <c r="B34" s="1" t="s">
        <v>138</v>
      </c>
      <c r="C34" s="1">
        <v>5</v>
      </c>
      <c r="D34" s="1" t="s">
        <v>45</v>
      </c>
      <c r="E34" s="1" t="s">
        <v>50</v>
      </c>
      <c r="G34" s="1" t="s">
        <v>54</v>
      </c>
      <c r="J34" s="1" t="s">
        <v>52</v>
      </c>
    </row>
    <row r="35" spans="1:10" x14ac:dyDescent="0.4">
      <c r="A35" s="1" t="s">
        <v>33</v>
      </c>
      <c r="B35" s="1" t="s">
        <v>36</v>
      </c>
      <c r="C35" s="1">
        <v>3</v>
      </c>
      <c r="D35" s="1" t="s">
        <v>37</v>
      </c>
      <c r="G35" s="1" t="s">
        <v>25</v>
      </c>
    </row>
    <row r="36" spans="1:10" x14ac:dyDescent="0.4">
      <c r="A36" s="1" t="s">
        <v>33</v>
      </c>
      <c r="B36" s="1" t="s">
        <v>36</v>
      </c>
      <c r="C36" s="1">
        <v>3</v>
      </c>
      <c r="D36" s="1" t="s">
        <v>38</v>
      </c>
      <c r="G36" s="1" t="s">
        <v>40</v>
      </c>
    </row>
    <row r="37" spans="1:10" x14ac:dyDescent="0.4">
      <c r="A37" s="1" t="s">
        <v>33</v>
      </c>
      <c r="B37" s="1" t="s">
        <v>36</v>
      </c>
      <c r="C37" s="1">
        <v>3</v>
      </c>
      <c r="D37" s="1" t="s">
        <v>39</v>
      </c>
      <c r="G37" s="1" t="s">
        <v>41</v>
      </c>
    </row>
    <row r="39" spans="1:10" x14ac:dyDescent="0.4">
      <c r="A39" s="1" t="s">
        <v>91</v>
      </c>
      <c r="B39" s="1" t="s">
        <v>92</v>
      </c>
      <c r="C39" s="1">
        <v>3</v>
      </c>
      <c r="D39" s="1" t="s">
        <v>95</v>
      </c>
      <c r="F39" s="1" t="s">
        <v>98</v>
      </c>
      <c r="G39" s="1" t="s">
        <v>22</v>
      </c>
      <c r="J39" s="1" t="s">
        <v>303</v>
      </c>
    </row>
    <row r="40" spans="1:10" x14ac:dyDescent="0.4">
      <c r="A40" s="1" t="s">
        <v>91</v>
      </c>
      <c r="B40" s="1" t="s">
        <v>92</v>
      </c>
      <c r="C40" s="1">
        <v>3</v>
      </c>
      <c r="D40" s="1" t="s">
        <v>96</v>
      </c>
    </row>
    <row r="41" spans="1:10" x14ac:dyDescent="0.4">
      <c r="A41" s="1" t="s">
        <v>91</v>
      </c>
      <c r="B41" s="1" t="s">
        <v>92</v>
      </c>
      <c r="C41" s="1">
        <v>3</v>
      </c>
      <c r="D41" s="1" t="s">
        <v>97</v>
      </c>
      <c r="J41" s="1" t="s">
        <v>141</v>
      </c>
    </row>
    <row r="42" spans="1:10" x14ac:dyDescent="0.4">
      <c r="A42" s="1" t="s">
        <v>91</v>
      </c>
      <c r="B42" s="1" t="s">
        <v>93</v>
      </c>
      <c r="C42" s="1">
        <v>6</v>
      </c>
      <c r="D42" s="1" t="s">
        <v>99</v>
      </c>
      <c r="E42" s="1" t="s">
        <v>104</v>
      </c>
      <c r="G42" s="1" t="s">
        <v>36</v>
      </c>
    </row>
    <row r="43" spans="1:10" x14ac:dyDescent="0.4">
      <c r="A43" s="1" t="s">
        <v>91</v>
      </c>
      <c r="B43" s="1" t="s">
        <v>93</v>
      </c>
      <c r="C43" s="1">
        <v>6</v>
      </c>
      <c r="D43" s="1" t="s">
        <v>100</v>
      </c>
      <c r="E43" s="1" t="s">
        <v>104</v>
      </c>
      <c r="G43" s="1" t="s">
        <v>80</v>
      </c>
    </row>
    <row r="44" spans="1:10" x14ac:dyDescent="0.4">
      <c r="A44" s="1" t="s">
        <v>91</v>
      </c>
      <c r="B44" s="1" t="s">
        <v>93</v>
      </c>
      <c r="C44" s="1">
        <v>6</v>
      </c>
      <c r="D44" s="1" t="s">
        <v>101</v>
      </c>
      <c r="E44" s="1">
        <v>1</v>
      </c>
      <c r="G44" s="1" t="s">
        <v>120</v>
      </c>
    </row>
    <row r="45" spans="1:10" x14ac:dyDescent="0.4">
      <c r="A45" s="1" t="s">
        <v>91</v>
      </c>
      <c r="B45" s="1" t="s">
        <v>93</v>
      </c>
      <c r="C45" s="1">
        <v>6</v>
      </c>
      <c r="D45" s="1" t="s">
        <v>142</v>
      </c>
      <c r="E45" s="1">
        <v>2</v>
      </c>
      <c r="G45" s="1" t="s">
        <v>121</v>
      </c>
    </row>
    <row r="46" spans="1:10" x14ac:dyDescent="0.4">
      <c r="A46" s="1" t="s">
        <v>91</v>
      </c>
      <c r="B46" s="1" t="s">
        <v>93</v>
      </c>
      <c r="C46" s="1">
        <v>6</v>
      </c>
      <c r="D46" s="1" t="s">
        <v>102</v>
      </c>
      <c r="E46" s="1">
        <v>3</v>
      </c>
      <c r="G46" s="1" t="s">
        <v>122</v>
      </c>
      <c r="J46" s="1" t="s">
        <v>143</v>
      </c>
    </row>
    <row r="47" spans="1:10" x14ac:dyDescent="0.4">
      <c r="A47" s="1" t="s">
        <v>91</v>
      </c>
      <c r="B47" s="1" t="s">
        <v>93</v>
      </c>
      <c r="C47" s="1">
        <v>6</v>
      </c>
      <c r="D47" s="1" t="s">
        <v>103</v>
      </c>
      <c r="E47" s="1">
        <v>4</v>
      </c>
      <c r="G47" s="1" t="s">
        <v>298</v>
      </c>
      <c r="J47" s="1" t="s">
        <v>123</v>
      </c>
    </row>
    <row r="48" spans="1:10" x14ac:dyDescent="0.4">
      <c r="A48" s="1" t="s">
        <v>91</v>
      </c>
      <c r="B48" s="1" t="s">
        <v>94</v>
      </c>
      <c r="C48" s="1">
        <v>10</v>
      </c>
      <c r="D48" s="1" t="s">
        <v>105</v>
      </c>
      <c r="E48" s="1" t="s">
        <v>108</v>
      </c>
      <c r="F48" s="1" t="s">
        <v>119</v>
      </c>
      <c r="G48" s="1" t="s">
        <v>50</v>
      </c>
      <c r="H48" s="1" t="s">
        <v>299</v>
      </c>
    </row>
    <row r="49" spans="1:11" x14ac:dyDescent="0.4">
      <c r="A49" s="1" t="s">
        <v>91</v>
      </c>
      <c r="B49" s="1" t="s">
        <v>94</v>
      </c>
      <c r="C49" s="1">
        <v>10</v>
      </c>
      <c r="D49" s="1" t="s">
        <v>107</v>
      </c>
      <c r="E49" s="1" t="s">
        <v>108</v>
      </c>
      <c r="G49" s="1" t="s">
        <v>90</v>
      </c>
      <c r="J49" s="1" t="s">
        <v>130</v>
      </c>
    </row>
    <row r="50" spans="1:11" x14ac:dyDescent="0.4">
      <c r="A50" s="1" t="s">
        <v>91</v>
      </c>
      <c r="B50" s="1" t="s">
        <v>94</v>
      </c>
      <c r="C50" s="1">
        <v>10</v>
      </c>
      <c r="D50" s="1" t="s">
        <v>106</v>
      </c>
      <c r="E50" s="1" t="s">
        <v>108</v>
      </c>
      <c r="G50" s="1" t="s">
        <v>131</v>
      </c>
      <c r="H50" s="1" t="s">
        <v>300</v>
      </c>
      <c r="J50" s="1" t="s">
        <v>132</v>
      </c>
    </row>
    <row r="51" spans="1:11" x14ac:dyDescent="0.4">
      <c r="A51" s="1" t="s">
        <v>91</v>
      </c>
      <c r="B51" s="1" t="s">
        <v>94</v>
      </c>
      <c r="C51" s="1">
        <v>10</v>
      </c>
      <c r="D51" s="1" t="s">
        <v>114</v>
      </c>
      <c r="E51" s="1" t="s">
        <v>109</v>
      </c>
      <c r="G51" s="1" t="s">
        <v>133</v>
      </c>
    </row>
    <row r="52" spans="1:11" x14ac:dyDescent="0.4">
      <c r="A52" s="1" t="s">
        <v>91</v>
      </c>
      <c r="B52" s="1" t="s">
        <v>94</v>
      </c>
      <c r="C52" s="1">
        <v>10</v>
      </c>
      <c r="D52" s="1" t="s">
        <v>115</v>
      </c>
      <c r="E52" s="1" t="s">
        <v>109</v>
      </c>
      <c r="F52" s="1" t="s">
        <v>134</v>
      </c>
      <c r="G52" s="1" t="s">
        <v>136</v>
      </c>
      <c r="J52" s="1" t="s">
        <v>135</v>
      </c>
    </row>
    <row r="53" spans="1:11" x14ac:dyDescent="0.4">
      <c r="A53" s="1" t="s">
        <v>91</v>
      </c>
      <c r="B53" s="1" t="s">
        <v>94</v>
      </c>
      <c r="C53" s="1">
        <v>10</v>
      </c>
      <c r="D53" s="1" t="s">
        <v>116</v>
      </c>
      <c r="E53" s="1" t="s">
        <v>109</v>
      </c>
      <c r="F53" s="1" t="s">
        <v>134</v>
      </c>
      <c r="G53" s="1" t="s">
        <v>21</v>
      </c>
    </row>
    <row r="54" spans="1:11" x14ac:dyDescent="0.4">
      <c r="A54" s="1" t="s">
        <v>91</v>
      </c>
      <c r="B54" s="1" t="s">
        <v>94</v>
      </c>
      <c r="C54" s="1">
        <v>10</v>
      </c>
      <c r="D54" s="1" t="s">
        <v>111</v>
      </c>
      <c r="E54" s="1" t="s">
        <v>110</v>
      </c>
      <c r="G54" s="1" t="s">
        <v>126</v>
      </c>
    </row>
    <row r="55" spans="1:11" x14ac:dyDescent="0.4">
      <c r="A55" s="1" t="s">
        <v>91</v>
      </c>
      <c r="B55" s="1" t="s">
        <v>94</v>
      </c>
      <c r="C55" s="1">
        <v>10</v>
      </c>
      <c r="D55" s="1" t="s">
        <v>112</v>
      </c>
      <c r="E55" s="1" t="s">
        <v>110</v>
      </c>
      <c r="G55" s="1" t="s">
        <v>127</v>
      </c>
    </row>
    <row r="56" spans="1:11" x14ac:dyDescent="0.4">
      <c r="A56" s="1" t="s">
        <v>91</v>
      </c>
      <c r="B56" s="1" t="s">
        <v>94</v>
      </c>
      <c r="C56" s="1">
        <v>10</v>
      </c>
      <c r="D56" s="1" t="s">
        <v>113</v>
      </c>
      <c r="E56" s="1" t="s">
        <v>110</v>
      </c>
      <c r="G56" s="1" t="s">
        <v>128</v>
      </c>
      <c r="J56" s="1" t="s">
        <v>129</v>
      </c>
    </row>
    <row r="57" spans="1:11" x14ac:dyDescent="0.4">
      <c r="A57" s="1" t="s">
        <v>91</v>
      </c>
      <c r="B57" s="1" t="s">
        <v>94</v>
      </c>
      <c r="C57" s="1">
        <v>10</v>
      </c>
      <c r="D57" s="1" t="s">
        <v>117</v>
      </c>
      <c r="E57" s="1" t="s">
        <v>118</v>
      </c>
      <c r="G57" s="1" t="s">
        <v>124</v>
      </c>
      <c r="J57" s="1" t="s">
        <v>125</v>
      </c>
      <c r="K57" s="1" t="s">
        <v>301</v>
      </c>
    </row>
    <row r="59" spans="1:11" x14ac:dyDescent="0.4">
      <c r="A59" s="1" t="s">
        <v>147</v>
      </c>
      <c r="B59" s="1" t="s">
        <v>149</v>
      </c>
      <c r="C59" s="1">
        <v>5</v>
      </c>
      <c r="D59" s="1" t="s">
        <v>153</v>
      </c>
      <c r="F59" s="1" t="s">
        <v>158</v>
      </c>
    </row>
    <row r="60" spans="1:11" x14ac:dyDescent="0.4">
      <c r="A60" s="1" t="s">
        <v>147</v>
      </c>
      <c r="B60" s="1" t="s">
        <v>149</v>
      </c>
      <c r="C60" s="1">
        <v>5</v>
      </c>
      <c r="D60" s="1" t="s">
        <v>154</v>
      </c>
    </row>
    <row r="61" spans="1:11" x14ac:dyDescent="0.4">
      <c r="A61" s="1" t="s">
        <v>147</v>
      </c>
      <c r="B61" s="1" t="s">
        <v>149</v>
      </c>
      <c r="C61" s="1">
        <v>5</v>
      </c>
      <c r="D61" s="1" t="s">
        <v>155</v>
      </c>
    </row>
    <row r="62" spans="1:11" x14ac:dyDescent="0.4">
      <c r="A62" s="1" t="s">
        <v>147</v>
      </c>
      <c r="B62" s="1" t="s">
        <v>149</v>
      </c>
      <c r="C62" s="1">
        <v>5</v>
      </c>
      <c r="D62" s="1" t="s">
        <v>156</v>
      </c>
    </row>
    <row r="63" spans="1:11" x14ac:dyDescent="0.4">
      <c r="A63" s="1" t="s">
        <v>147</v>
      </c>
      <c r="B63" s="1" t="s">
        <v>149</v>
      </c>
      <c r="C63" s="1">
        <v>5</v>
      </c>
      <c r="D63" s="1" t="s">
        <v>157</v>
      </c>
    </row>
    <row r="64" spans="1:11" x14ac:dyDescent="0.4">
      <c r="A64" s="1" t="s">
        <v>147</v>
      </c>
      <c r="B64" s="1" t="s">
        <v>151</v>
      </c>
      <c r="C64" s="1">
        <v>6</v>
      </c>
      <c r="D64" s="1" t="s">
        <v>159</v>
      </c>
      <c r="E64" s="1" t="s">
        <v>167</v>
      </c>
      <c r="F64" s="1" t="s">
        <v>175</v>
      </c>
    </row>
    <row r="65" spans="1:6" x14ac:dyDescent="0.4">
      <c r="A65" s="1" t="s">
        <v>147</v>
      </c>
      <c r="B65" s="1" t="s">
        <v>151</v>
      </c>
      <c r="C65" s="1">
        <v>6</v>
      </c>
      <c r="D65" s="1" t="s">
        <v>160</v>
      </c>
      <c r="E65" s="1" t="s">
        <v>167</v>
      </c>
    </row>
    <row r="66" spans="1:6" x14ac:dyDescent="0.4">
      <c r="A66" s="1" t="s">
        <v>147</v>
      </c>
      <c r="B66" s="1" t="s">
        <v>151</v>
      </c>
      <c r="C66" s="1">
        <v>6</v>
      </c>
      <c r="D66" s="1" t="s">
        <v>161</v>
      </c>
      <c r="E66" s="1" t="s">
        <v>165</v>
      </c>
      <c r="F66" s="1" t="s">
        <v>293</v>
      </c>
    </row>
    <row r="67" spans="1:6" x14ac:dyDescent="0.4">
      <c r="A67" s="1" t="s">
        <v>147</v>
      </c>
      <c r="B67" s="1" t="s">
        <v>151</v>
      </c>
      <c r="C67" s="1">
        <v>6</v>
      </c>
      <c r="D67" s="1" t="s">
        <v>162</v>
      </c>
      <c r="E67" s="1" t="s">
        <v>165</v>
      </c>
    </row>
    <row r="68" spans="1:6" x14ac:dyDescent="0.4">
      <c r="A68" s="1" t="s">
        <v>147</v>
      </c>
      <c r="B68" s="1" t="s">
        <v>151</v>
      </c>
      <c r="C68" s="1">
        <v>6</v>
      </c>
      <c r="D68" s="1" t="s">
        <v>163</v>
      </c>
      <c r="E68" s="1" t="s">
        <v>166</v>
      </c>
      <c r="F68" s="1" t="s">
        <v>294</v>
      </c>
    </row>
    <row r="69" spans="1:6" x14ac:dyDescent="0.4">
      <c r="A69" s="1" t="s">
        <v>147</v>
      </c>
      <c r="B69" s="1" t="s">
        <v>151</v>
      </c>
      <c r="C69" s="1">
        <v>6</v>
      </c>
      <c r="D69" s="1" t="s">
        <v>164</v>
      </c>
      <c r="E69" s="1" t="s">
        <v>166</v>
      </c>
    </row>
    <row r="70" spans="1:6" x14ac:dyDescent="0.4">
      <c r="A70" s="1" t="s">
        <v>147</v>
      </c>
      <c r="B70" s="1" t="s">
        <v>81</v>
      </c>
      <c r="C70" s="1">
        <v>7</v>
      </c>
      <c r="D70" s="1" t="s">
        <v>168</v>
      </c>
      <c r="E70" s="1" t="s">
        <v>175</v>
      </c>
    </row>
    <row r="71" spans="1:6" x14ac:dyDescent="0.4">
      <c r="A71" s="1" t="s">
        <v>147</v>
      </c>
      <c r="B71" s="1" t="s">
        <v>81</v>
      </c>
      <c r="C71" s="1">
        <v>7</v>
      </c>
      <c r="D71" s="1" t="s">
        <v>169</v>
      </c>
      <c r="E71" s="1" t="s">
        <v>175</v>
      </c>
    </row>
    <row r="72" spans="1:6" x14ac:dyDescent="0.4">
      <c r="A72" s="1" t="s">
        <v>147</v>
      </c>
      <c r="B72" s="1" t="s">
        <v>81</v>
      </c>
      <c r="C72" s="1">
        <v>7</v>
      </c>
      <c r="D72" s="1" t="s">
        <v>170</v>
      </c>
      <c r="E72" s="1" t="s">
        <v>175</v>
      </c>
    </row>
    <row r="73" spans="1:6" x14ac:dyDescent="0.4">
      <c r="A73" s="1" t="s">
        <v>147</v>
      </c>
      <c r="B73" s="1" t="s">
        <v>81</v>
      </c>
      <c r="C73" s="1">
        <v>7</v>
      </c>
      <c r="D73" s="1" t="s">
        <v>171</v>
      </c>
      <c r="E73" s="1" t="s">
        <v>104</v>
      </c>
    </row>
    <row r="74" spans="1:6" x14ac:dyDescent="0.4">
      <c r="A74" s="1" t="s">
        <v>147</v>
      </c>
      <c r="B74" s="1" t="s">
        <v>81</v>
      </c>
      <c r="C74" s="1">
        <v>7</v>
      </c>
      <c r="D74" s="1" t="s">
        <v>172</v>
      </c>
      <c r="E74" s="1" t="s">
        <v>104</v>
      </c>
    </row>
    <row r="75" spans="1:6" x14ac:dyDescent="0.4">
      <c r="A75" s="1" t="s">
        <v>147</v>
      </c>
      <c r="B75" s="1" t="s">
        <v>81</v>
      </c>
      <c r="C75" s="1">
        <v>7</v>
      </c>
      <c r="D75" s="1" t="s">
        <v>173</v>
      </c>
    </row>
    <row r="76" spans="1:6" x14ac:dyDescent="0.4">
      <c r="A76" s="1" t="s">
        <v>147</v>
      </c>
      <c r="B76" s="1" t="s">
        <v>81</v>
      </c>
      <c r="C76" s="1">
        <v>7</v>
      </c>
      <c r="D76" s="1" t="s">
        <v>174</v>
      </c>
      <c r="E76" s="1" t="s">
        <v>21</v>
      </c>
    </row>
    <row r="77" spans="1:6" x14ac:dyDescent="0.4">
      <c r="A77" s="1" t="s">
        <v>147</v>
      </c>
      <c r="B77" s="1" t="s">
        <v>148</v>
      </c>
      <c r="C77" s="1">
        <v>8</v>
      </c>
      <c r="D77" s="1" t="s">
        <v>176</v>
      </c>
      <c r="E77" s="1" t="s">
        <v>179</v>
      </c>
    </row>
    <row r="78" spans="1:6" x14ac:dyDescent="0.4">
      <c r="A78" s="1" t="s">
        <v>147</v>
      </c>
      <c r="B78" s="1" t="s">
        <v>148</v>
      </c>
      <c r="C78" s="1">
        <v>8</v>
      </c>
      <c r="D78" s="1" t="s">
        <v>187</v>
      </c>
      <c r="E78" s="1" t="s">
        <v>188</v>
      </c>
    </row>
    <row r="79" spans="1:6" x14ac:dyDescent="0.4">
      <c r="A79" s="1" t="s">
        <v>147</v>
      </c>
      <c r="B79" s="1" t="s">
        <v>148</v>
      </c>
      <c r="C79" s="1">
        <v>8</v>
      </c>
      <c r="D79" s="1" t="s">
        <v>177</v>
      </c>
      <c r="E79" s="1" t="s">
        <v>180</v>
      </c>
    </row>
    <row r="80" spans="1:6" x14ac:dyDescent="0.4">
      <c r="A80" s="1" t="s">
        <v>147</v>
      </c>
      <c r="B80" s="1" t="s">
        <v>148</v>
      </c>
      <c r="C80" s="1">
        <v>8</v>
      </c>
      <c r="D80" s="1" t="s">
        <v>178</v>
      </c>
      <c r="E80" s="1" t="s">
        <v>180</v>
      </c>
    </row>
    <row r="81" spans="1:10" x14ac:dyDescent="0.4">
      <c r="A81" s="1" t="s">
        <v>147</v>
      </c>
      <c r="B81" s="1" t="s">
        <v>148</v>
      </c>
      <c r="C81" s="1">
        <v>8</v>
      </c>
      <c r="D81" s="1" t="s">
        <v>182</v>
      </c>
      <c r="E81" s="1" t="s">
        <v>181</v>
      </c>
      <c r="F81" s="1" t="s">
        <v>184</v>
      </c>
    </row>
    <row r="82" spans="1:10" x14ac:dyDescent="0.4">
      <c r="A82" s="1" t="s">
        <v>147</v>
      </c>
      <c r="B82" s="1" t="s">
        <v>148</v>
      </c>
      <c r="C82" s="1">
        <v>8</v>
      </c>
      <c r="D82" s="1" t="s">
        <v>183</v>
      </c>
      <c r="E82" s="1" t="s">
        <v>181</v>
      </c>
    </row>
    <row r="83" spans="1:10" x14ac:dyDescent="0.4">
      <c r="A83" s="1" t="s">
        <v>147</v>
      </c>
      <c r="B83" s="1" t="s">
        <v>148</v>
      </c>
      <c r="C83" s="1">
        <v>8</v>
      </c>
      <c r="D83" s="1" t="s">
        <v>185</v>
      </c>
      <c r="E83" s="1" t="s">
        <v>167</v>
      </c>
    </row>
    <row r="84" spans="1:10" x14ac:dyDescent="0.4">
      <c r="A84" s="1" t="s">
        <v>147</v>
      </c>
      <c r="B84" s="1" t="s">
        <v>148</v>
      </c>
      <c r="C84" s="1">
        <v>8</v>
      </c>
      <c r="D84" s="1" t="s">
        <v>186</v>
      </c>
      <c r="E84" s="1" t="s">
        <v>167</v>
      </c>
    </row>
    <row r="85" spans="1:10" x14ac:dyDescent="0.4">
      <c r="A85" s="1" t="s">
        <v>147</v>
      </c>
      <c r="B85" s="1" t="s">
        <v>152</v>
      </c>
      <c r="C85" s="1">
        <v>9</v>
      </c>
      <c r="D85" s="1" t="s">
        <v>197</v>
      </c>
      <c r="E85" s="1" t="s">
        <v>223</v>
      </c>
      <c r="F85" s="1" t="s">
        <v>90</v>
      </c>
    </row>
    <row r="86" spans="1:10" x14ac:dyDescent="0.4">
      <c r="A86" s="1" t="s">
        <v>147</v>
      </c>
      <c r="B86" s="1" t="s">
        <v>152</v>
      </c>
      <c r="C86" s="1">
        <v>9</v>
      </c>
      <c r="D86" s="1" t="s">
        <v>198</v>
      </c>
      <c r="E86" s="1" t="s">
        <v>223</v>
      </c>
      <c r="F86" s="1" t="s">
        <v>90</v>
      </c>
    </row>
    <row r="87" spans="1:10" x14ac:dyDescent="0.4">
      <c r="A87" s="1" t="s">
        <v>147</v>
      </c>
      <c r="B87" s="1" t="s">
        <v>152</v>
      </c>
      <c r="C87" s="1">
        <v>9</v>
      </c>
      <c r="D87" s="1" t="s">
        <v>199</v>
      </c>
      <c r="E87" s="1" t="s">
        <v>223</v>
      </c>
      <c r="F87" s="1" t="s">
        <v>189</v>
      </c>
      <c r="J87" s="1" t="s">
        <v>227</v>
      </c>
    </row>
    <row r="88" spans="1:10" x14ac:dyDescent="0.4">
      <c r="A88" s="1" t="s">
        <v>147</v>
      </c>
      <c r="B88" s="1" t="s">
        <v>152</v>
      </c>
      <c r="C88" s="1">
        <v>9</v>
      </c>
      <c r="D88" s="1" t="s">
        <v>200</v>
      </c>
      <c r="E88" s="1" t="s">
        <v>223</v>
      </c>
      <c r="F88" s="1" t="s">
        <v>189</v>
      </c>
    </row>
    <row r="89" spans="1:10" x14ac:dyDescent="0.4">
      <c r="A89" s="1" t="s">
        <v>147</v>
      </c>
      <c r="B89" s="1" t="s">
        <v>152</v>
      </c>
      <c r="C89" s="1">
        <v>9</v>
      </c>
      <c r="D89" s="1" t="s">
        <v>201</v>
      </c>
      <c r="E89" s="1" t="s">
        <v>223</v>
      </c>
      <c r="F89" s="1" t="s">
        <v>190</v>
      </c>
      <c r="G89" s="1" t="s">
        <v>151</v>
      </c>
      <c r="J89" s="1" t="s">
        <v>21</v>
      </c>
    </row>
    <row r="90" spans="1:10" x14ac:dyDescent="0.4">
      <c r="A90" s="1" t="s">
        <v>147</v>
      </c>
      <c r="B90" s="1" t="s">
        <v>152</v>
      </c>
      <c r="C90" s="1">
        <v>9</v>
      </c>
      <c r="D90" s="1" t="s">
        <v>202</v>
      </c>
      <c r="E90" s="1" t="s">
        <v>223</v>
      </c>
      <c r="F90" s="1" t="s">
        <v>190</v>
      </c>
      <c r="G90" s="1" t="s">
        <v>129</v>
      </c>
      <c r="J90" s="1" t="s">
        <v>226</v>
      </c>
    </row>
    <row r="91" spans="1:10" x14ac:dyDescent="0.4">
      <c r="A91" s="1" t="s">
        <v>147</v>
      </c>
      <c r="B91" s="1" t="s">
        <v>152</v>
      </c>
      <c r="C91" s="1">
        <v>9</v>
      </c>
      <c r="D91" s="1" t="s">
        <v>203</v>
      </c>
      <c r="E91" s="1" t="s">
        <v>150</v>
      </c>
      <c r="F91" s="1" t="s">
        <v>191</v>
      </c>
      <c r="G91" s="1" t="s">
        <v>224</v>
      </c>
      <c r="J91" s="1" t="s">
        <v>28</v>
      </c>
    </row>
    <row r="92" spans="1:10" x14ac:dyDescent="0.4">
      <c r="A92" s="1" t="s">
        <v>147</v>
      </c>
      <c r="B92" s="1" t="s">
        <v>152</v>
      </c>
      <c r="C92" s="1">
        <v>9</v>
      </c>
      <c r="D92" s="1" t="s">
        <v>204</v>
      </c>
      <c r="E92" s="1" t="s">
        <v>150</v>
      </c>
      <c r="F92" s="1" t="s">
        <v>191</v>
      </c>
      <c r="G92" s="1" t="s">
        <v>224</v>
      </c>
    </row>
    <row r="93" spans="1:10" x14ac:dyDescent="0.4">
      <c r="A93" s="1" t="s">
        <v>147</v>
      </c>
      <c r="B93" s="1" t="s">
        <v>152</v>
      </c>
      <c r="C93" s="1">
        <v>9</v>
      </c>
      <c r="D93" s="1" t="s">
        <v>205</v>
      </c>
      <c r="E93" s="1" t="s">
        <v>150</v>
      </c>
      <c r="F93" s="1" t="s">
        <v>192</v>
      </c>
      <c r="G93" s="1" t="s">
        <v>81</v>
      </c>
    </row>
    <row r="94" spans="1:10" x14ac:dyDescent="0.4">
      <c r="A94" s="1" t="s">
        <v>147</v>
      </c>
      <c r="B94" s="1" t="s">
        <v>152</v>
      </c>
      <c r="C94" s="1">
        <v>9</v>
      </c>
      <c r="D94" s="1" t="s">
        <v>206</v>
      </c>
      <c r="E94" s="1" t="s">
        <v>150</v>
      </c>
      <c r="F94" s="1" t="s">
        <v>192</v>
      </c>
      <c r="G94" s="1" t="s">
        <v>225</v>
      </c>
    </row>
    <row r="95" spans="1:10" x14ac:dyDescent="0.4">
      <c r="A95" s="1" t="s">
        <v>147</v>
      </c>
      <c r="B95" s="1" t="s">
        <v>152</v>
      </c>
      <c r="C95" s="1">
        <v>9</v>
      </c>
      <c r="D95" s="1" t="s">
        <v>210</v>
      </c>
      <c r="E95" s="1" t="s">
        <v>221</v>
      </c>
      <c r="F95" s="1" t="s">
        <v>193</v>
      </c>
    </row>
    <row r="96" spans="1:10" x14ac:dyDescent="0.4">
      <c r="A96" s="1" t="s">
        <v>147</v>
      </c>
      <c r="B96" s="1" t="s">
        <v>152</v>
      </c>
      <c r="C96" s="1">
        <v>9</v>
      </c>
      <c r="D96" s="1" t="s">
        <v>207</v>
      </c>
      <c r="E96" s="1" t="s">
        <v>221</v>
      </c>
      <c r="F96" s="1" t="s">
        <v>193</v>
      </c>
    </row>
    <row r="97" spans="1:10" x14ac:dyDescent="0.4">
      <c r="A97" s="1" t="s">
        <v>147</v>
      </c>
      <c r="B97" s="1" t="s">
        <v>152</v>
      </c>
      <c r="C97" s="1">
        <v>9</v>
      </c>
      <c r="D97" s="1" t="s">
        <v>208</v>
      </c>
      <c r="E97" s="1" t="s">
        <v>221</v>
      </c>
      <c r="F97" s="1" t="s">
        <v>193</v>
      </c>
      <c r="G97" s="1" t="s">
        <v>22</v>
      </c>
    </row>
    <row r="98" spans="1:10" x14ac:dyDescent="0.4">
      <c r="A98" s="1" t="s">
        <v>147</v>
      </c>
      <c r="B98" s="1" t="s">
        <v>152</v>
      </c>
      <c r="C98" s="1">
        <v>9</v>
      </c>
      <c r="D98" s="1" t="s">
        <v>209</v>
      </c>
      <c r="E98" s="1" t="s">
        <v>221</v>
      </c>
      <c r="F98" s="1" t="s">
        <v>193</v>
      </c>
      <c r="G98" s="1" t="s">
        <v>228</v>
      </c>
    </row>
    <row r="99" spans="1:10" x14ac:dyDescent="0.4">
      <c r="A99" s="1" t="s">
        <v>147</v>
      </c>
      <c r="B99" s="1" t="s">
        <v>152</v>
      </c>
      <c r="C99" s="1">
        <v>9</v>
      </c>
      <c r="D99" s="1" t="s">
        <v>211</v>
      </c>
      <c r="E99" s="1" t="s">
        <v>221</v>
      </c>
      <c r="F99" s="1" t="s">
        <v>194</v>
      </c>
    </row>
    <row r="100" spans="1:10" x14ac:dyDescent="0.4">
      <c r="A100" s="1" t="s">
        <v>147</v>
      </c>
      <c r="B100" s="1" t="s">
        <v>152</v>
      </c>
      <c r="C100" s="1">
        <v>9</v>
      </c>
      <c r="D100" s="1" t="s">
        <v>212</v>
      </c>
      <c r="E100" s="1" t="s">
        <v>221</v>
      </c>
      <c r="F100" s="1" t="s">
        <v>194</v>
      </c>
    </row>
    <row r="101" spans="1:10" x14ac:dyDescent="0.4">
      <c r="A101" s="1" t="s">
        <v>147</v>
      </c>
      <c r="B101" s="1" t="s">
        <v>152</v>
      </c>
      <c r="C101" s="1">
        <v>9</v>
      </c>
      <c r="D101" s="1" t="s">
        <v>213</v>
      </c>
      <c r="E101" s="1" t="s">
        <v>221</v>
      </c>
      <c r="F101" s="1" t="s">
        <v>194</v>
      </c>
    </row>
    <row r="102" spans="1:10" x14ac:dyDescent="0.4">
      <c r="A102" s="1" t="s">
        <v>147</v>
      </c>
      <c r="B102" s="1" t="s">
        <v>152</v>
      </c>
      <c r="C102" s="1">
        <v>9</v>
      </c>
      <c r="D102" s="1" t="s">
        <v>214</v>
      </c>
      <c r="E102" s="1" t="s">
        <v>221</v>
      </c>
      <c r="F102" s="1" t="s">
        <v>144</v>
      </c>
    </row>
    <row r="103" spans="1:10" x14ac:dyDescent="0.4">
      <c r="A103" s="1" t="s">
        <v>147</v>
      </c>
      <c r="B103" s="1" t="s">
        <v>152</v>
      </c>
      <c r="C103" s="1">
        <v>9</v>
      </c>
      <c r="D103" s="1" t="s">
        <v>216</v>
      </c>
      <c r="E103" s="1" t="s">
        <v>221</v>
      </c>
      <c r="F103" s="1" t="s">
        <v>144</v>
      </c>
    </row>
    <row r="104" spans="1:10" x14ac:dyDescent="0.4">
      <c r="A104" s="1" t="s">
        <v>147</v>
      </c>
      <c r="B104" s="1" t="s">
        <v>152</v>
      </c>
      <c r="C104" s="1">
        <v>9</v>
      </c>
      <c r="D104" s="1" t="s">
        <v>215</v>
      </c>
      <c r="E104" s="1" t="s">
        <v>221</v>
      </c>
      <c r="F104" s="1" t="s">
        <v>144</v>
      </c>
    </row>
    <row r="105" spans="1:10" x14ac:dyDescent="0.4">
      <c r="A105" s="1" t="s">
        <v>147</v>
      </c>
      <c r="B105" s="1" t="s">
        <v>152</v>
      </c>
      <c r="C105" s="1">
        <v>9</v>
      </c>
      <c r="D105" s="1" t="s">
        <v>220</v>
      </c>
      <c r="E105" s="1" t="s">
        <v>222</v>
      </c>
      <c r="F105" s="1" t="s">
        <v>196</v>
      </c>
    </row>
    <row r="106" spans="1:10" x14ac:dyDescent="0.4">
      <c r="A106" s="1" t="s">
        <v>147</v>
      </c>
      <c r="B106" s="1" t="s">
        <v>152</v>
      </c>
      <c r="C106" s="1">
        <v>9</v>
      </c>
      <c r="D106" s="1" t="s">
        <v>218</v>
      </c>
      <c r="E106" s="1" t="s">
        <v>222</v>
      </c>
      <c r="F106" s="1" t="s">
        <v>196</v>
      </c>
    </row>
    <row r="107" spans="1:10" x14ac:dyDescent="0.4">
      <c r="A107" s="1" t="s">
        <v>147</v>
      </c>
      <c r="B107" s="1" t="s">
        <v>152</v>
      </c>
      <c r="C107" s="1">
        <v>9</v>
      </c>
      <c r="D107" s="1" t="s">
        <v>219</v>
      </c>
      <c r="E107" s="1" t="s">
        <v>222</v>
      </c>
      <c r="F107" s="1" t="s">
        <v>22</v>
      </c>
    </row>
    <row r="108" spans="1:10" x14ac:dyDescent="0.4">
      <c r="A108" s="1" t="s">
        <v>147</v>
      </c>
      <c r="B108" s="1" t="s">
        <v>152</v>
      </c>
      <c r="C108" s="1">
        <v>9</v>
      </c>
      <c r="D108" s="1" t="s">
        <v>217</v>
      </c>
      <c r="E108" s="1" t="s">
        <v>222</v>
      </c>
      <c r="F108" s="1" t="s">
        <v>195</v>
      </c>
    </row>
    <row r="110" spans="1:10" x14ac:dyDescent="0.4">
      <c r="A110" s="1" t="s">
        <v>229</v>
      </c>
      <c r="C110" s="1">
        <v>3</v>
      </c>
      <c r="D110" s="1" t="s">
        <v>232</v>
      </c>
      <c r="E110" s="1">
        <v>1</v>
      </c>
      <c r="F110" s="1" t="s">
        <v>238</v>
      </c>
      <c r="G110" s="1" t="s">
        <v>243</v>
      </c>
      <c r="J110" s="1" t="s">
        <v>244</v>
      </c>
    </row>
    <row r="111" spans="1:10" x14ac:dyDescent="0.4">
      <c r="A111" s="1" t="s">
        <v>229</v>
      </c>
      <c r="C111" s="1">
        <v>3</v>
      </c>
      <c r="D111" s="1" t="s">
        <v>231</v>
      </c>
      <c r="E111" s="1">
        <v>2</v>
      </c>
      <c r="F111" s="1" t="s">
        <v>239</v>
      </c>
      <c r="G111" s="1" t="s">
        <v>242</v>
      </c>
    </row>
    <row r="112" spans="1:10" x14ac:dyDescent="0.4">
      <c r="A112" s="1" t="s">
        <v>229</v>
      </c>
      <c r="C112" s="1">
        <v>3</v>
      </c>
      <c r="D112" s="1" t="s">
        <v>230</v>
      </c>
      <c r="E112" s="1">
        <v>3</v>
      </c>
      <c r="F112" s="1" t="s">
        <v>240</v>
      </c>
      <c r="G112" s="1" t="s">
        <v>241</v>
      </c>
    </row>
    <row r="113" spans="1:10" x14ac:dyDescent="0.4">
      <c r="A113" s="1" t="s">
        <v>229</v>
      </c>
      <c r="C113" s="1">
        <v>2</v>
      </c>
      <c r="D113" s="1" t="s">
        <v>233</v>
      </c>
      <c r="E113" s="1" t="s">
        <v>247</v>
      </c>
      <c r="H113" s="1" t="s">
        <v>250</v>
      </c>
    </row>
    <row r="114" spans="1:10" x14ac:dyDescent="0.4">
      <c r="A114" s="1" t="s">
        <v>229</v>
      </c>
      <c r="C114" s="1">
        <v>2</v>
      </c>
      <c r="D114" s="1" t="s">
        <v>234</v>
      </c>
      <c r="E114" s="1" t="s">
        <v>247</v>
      </c>
      <c r="F114" s="1" t="s">
        <v>248</v>
      </c>
    </row>
    <row r="115" spans="1:10" x14ac:dyDescent="0.4">
      <c r="A115" s="1" t="s">
        <v>229</v>
      </c>
      <c r="C115" s="1">
        <v>2</v>
      </c>
      <c r="D115" s="1" t="s">
        <v>236</v>
      </c>
      <c r="E115" s="1" t="s">
        <v>251</v>
      </c>
      <c r="J115" s="1" t="s">
        <v>246</v>
      </c>
    </row>
    <row r="116" spans="1:10" x14ac:dyDescent="0.4">
      <c r="A116" s="1" t="s">
        <v>229</v>
      </c>
      <c r="C116" s="1">
        <v>2</v>
      </c>
      <c r="D116" s="1" t="s">
        <v>237</v>
      </c>
      <c r="E116" s="1" t="s">
        <v>251</v>
      </c>
      <c r="J116" s="1" t="s">
        <v>249</v>
      </c>
    </row>
    <row r="117" spans="1:10" x14ac:dyDescent="0.4">
      <c r="A117" s="1" t="s">
        <v>229</v>
      </c>
      <c r="C117" s="1">
        <v>1</v>
      </c>
      <c r="D117" s="1" t="s">
        <v>235</v>
      </c>
      <c r="E117" s="1" t="s">
        <v>252</v>
      </c>
      <c r="G117" s="1" t="s">
        <v>245</v>
      </c>
    </row>
    <row r="119" spans="1:10" x14ac:dyDescent="0.4">
      <c r="A119" s="1" t="s">
        <v>253</v>
      </c>
      <c r="C119" s="1">
        <v>4</v>
      </c>
      <c r="D119" s="1" t="s">
        <v>256</v>
      </c>
      <c r="E119" s="1" t="s">
        <v>247</v>
      </c>
      <c r="F119" s="1" t="s">
        <v>270</v>
      </c>
      <c r="J119" s="1" t="s">
        <v>260</v>
      </c>
    </row>
    <row r="120" spans="1:10" x14ac:dyDescent="0.4">
      <c r="A120" s="1" t="s">
        <v>253</v>
      </c>
      <c r="C120" s="1">
        <v>4</v>
      </c>
      <c r="D120" s="1" t="s">
        <v>257</v>
      </c>
      <c r="E120" s="1" t="s">
        <v>247</v>
      </c>
      <c r="F120" s="1" t="s">
        <v>271</v>
      </c>
      <c r="G120" s="1" t="s">
        <v>189</v>
      </c>
    </row>
    <row r="121" spans="1:10" x14ac:dyDescent="0.4">
      <c r="A121" s="1" t="s">
        <v>253</v>
      </c>
      <c r="C121" s="1">
        <v>4</v>
      </c>
      <c r="D121" s="1" t="s">
        <v>258</v>
      </c>
      <c r="E121" s="1" t="s">
        <v>247</v>
      </c>
      <c r="F121" s="1" t="s">
        <v>272</v>
      </c>
      <c r="G121" s="1" t="s">
        <v>273</v>
      </c>
    </row>
    <row r="122" spans="1:10" x14ac:dyDescent="0.4">
      <c r="A122" s="1" t="s">
        <v>253</v>
      </c>
      <c r="C122" s="1">
        <v>4</v>
      </c>
      <c r="D122" s="1" t="s">
        <v>259</v>
      </c>
      <c r="E122" s="1" t="s">
        <v>247</v>
      </c>
    </row>
    <row r="123" spans="1:10" x14ac:dyDescent="0.4">
      <c r="A123" s="1" t="s">
        <v>253</v>
      </c>
      <c r="C123" s="1">
        <v>3</v>
      </c>
      <c r="D123" s="1" t="s">
        <v>263</v>
      </c>
      <c r="E123" s="1" t="s">
        <v>104</v>
      </c>
      <c r="G123" s="1" t="s">
        <v>276</v>
      </c>
      <c r="J123" s="1" t="s">
        <v>275</v>
      </c>
    </row>
    <row r="124" spans="1:10" x14ac:dyDescent="0.4">
      <c r="A124" s="1" t="s">
        <v>253</v>
      </c>
      <c r="C124" s="1">
        <v>3</v>
      </c>
      <c r="D124" s="1" t="s">
        <v>261</v>
      </c>
      <c r="E124" s="1" t="s">
        <v>104</v>
      </c>
      <c r="G124" s="1" t="s">
        <v>277</v>
      </c>
    </row>
    <row r="125" spans="1:10" x14ac:dyDescent="0.4">
      <c r="A125" s="1" t="s">
        <v>253</v>
      </c>
      <c r="C125" s="1">
        <v>3</v>
      </c>
      <c r="D125" s="1" t="s">
        <v>262</v>
      </c>
      <c r="E125" s="1" t="s">
        <v>104</v>
      </c>
      <c r="G125" s="1" t="s">
        <v>274</v>
      </c>
    </row>
    <row r="126" spans="1:10" x14ac:dyDescent="0.4">
      <c r="A126" s="1" t="s">
        <v>253</v>
      </c>
      <c r="C126" s="1">
        <v>3</v>
      </c>
      <c r="D126" s="1" t="s">
        <v>264</v>
      </c>
      <c r="E126" s="1" t="s">
        <v>254</v>
      </c>
      <c r="G126" s="1" t="s">
        <v>279</v>
      </c>
      <c r="J126" s="1" t="s">
        <v>278</v>
      </c>
    </row>
    <row r="127" spans="1:10" x14ac:dyDescent="0.4">
      <c r="A127" s="1" t="s">
        <v>253</v>
      </c>
      <c r="C127" s="1">
        <v>3</v>
      </c>
      <c r="D127" s="1" t="s">
        <v>266</v>
      </c>
      <c r="E127" s="1" t="s">
        <v>254</v>
      </c>
      <c r="G127" s="1" t="s">
        <v>279</v>
      </c>
    </row>
    <row r="128" spans="1:10" x14ac:dyDescent="0.4">
      <c r="A128" s="1" t="s">
        <v>253</v>
      </c>
      <c r="C128" s="1">
        <v>3</v>
      </c>
      <c r="D128" s="1" t="s">
        <v>265</v>
      </c>
      <c r="E128" s="1" t="s">
        <v>254</v>
      </c>
      <c r="G128" s="1" t="s">
        <v>189</v>
      </c>
      <c r="J128" s="1" t="s">
        <v>280</v>
      </c>
    </row>
    <row r="129" spans="1:10" x14ac:dyDescent="0.4">
      <c r="A129" s="1" t="s">
        <v>253</v>
      </c>
      <c r="C129" s="1">
        <v>3</v>
      </c>
      <c r="D129" s="1" t="s">
        <v>267</v>
      </c>
      <c r="E129" s="1" t="s">
        <v>255</v>
      </c>
      <c r="G129" s="1" t="s">
        <v>281</v>
      </c>
    </row>
    <row r="130" spans="1:10" x14ac:dyDescent="0.4">
      <c r="A130" s="1" t="s">
        <v>253</v>
      </c>
      <c r="C130" s="1">
        <v>3</v>
      </c>
      <c r="D130" s="1" t="s">
        <v>268</v>
      </c>
      <c r="E130" s="1" t="s">
        <v>255</v>
      </c>
      <c r="F130" s="1" t="s">
        <v>282</v>
      </c>
      <c r="G130" s="1" t="s">
        <v>279</v>
      </c>
      <c r="J130" s="1" t="s">
        <v>284</v>
      </c>
    </row>
    <row r="131" spans="1:10" x14ac:dyDescent="0.4">
      <c r="A131" s="1" t="s">
        <v>253</v>
      </c>
      <c r="C131" s="1">
        <v>3</v>
      </c>
      <c r="D131" s="1" t="s">
        <v>269</v>
      </c>
      <c r="E131" s="1" t="s">
        <v>255</v>
      </c>
      <c r="G131" s="1" t="s">
        <v>283</v>
      </c>
      <c r="J131" s="1" t="s">
        <v>285</v>
      </c>
    </row>
    <row r="133" spans="1:10" x14ac:dyDescent="0.4">
      <c r="A133" s="1" t="s">
        <v>286</v>
      </c>
      <c r="D133" s="1" t="s">
        <v>287</v>
      </c>
      <c r="G133" s="1" t="s">
        <v>165</v>
      </c>
      <c r="J133" s="1" t="s">
        <v>304</v>
      </c>
    </row>
    <row r="134" spans="1:10" x14ac:dyDescent="0.4">
      <c r="A134" s="1" t="s">
        <v>286</v>
      </c>
      <c r="D134" s="1" t="s">
        <v>288</v>
      </c>
    </row>
    <row r="135" spans="1:10" x14ac:dyDescent="0.4">
      <c r="A135" s="1" t="s">
        <v>286</v>
      </c>
      <c r="D135" s="1" t="s">
        <v>289</v>
      </c>
      <c r="G135" s="1" t="s">
        <v>189</v>
      </c>
      <c r="J135" s="1" t="s">
        <v>305</v>
      </c>
    </row>
    <row r="136" spans="1:10" x14ac:dyDescent="0.4">
      <c r="A136" s="1" t="s">
        <v>286</v>
      </c>
      <c r="D136" s="1" t="s">
        <v>290</v>
      </c>
      <c r="G136" s="1" t="s">
        <v>306</v>
      </c>
    </row>
    <row r="137" spans="1:10" x14ac:dyDescent="0.4">
      <c r="A137" s="1" t="s">
        <v>286</v>
      </c>
      <c r="D137" s="1" t="s">
        <v>291</v>
      </c>
    </row>
    <row r="138" spans="1:10" x14ac:dyDescent="0.4">
      <c r="A138" s="1" t="s">
        <v>286</v>
      </c>
      <c r="D138" s="1" t="s">
        <v>292</v>
      </c>
      <c r="G138" s="1" t="s">
        <v>307</v>
      </c>
    </row>
    <row r="140" spans="1:10" x14ac:dyDescent="0.4">
      <c r="A140" s="1" t="s">
        <v>308</v>
      </c>
      <c r="D140" s="1" t="s">
        <v>309</v>
      </c>
      <c r="G140" s="1" t="s">
        <v>314</v>
      </c>
      <c r="J140" s="1" t="s">
        <v>228</v>
      </c>
    </row>
    <row r="141" spans="1:10" x14ac:dyDescent="0.4">
      <c r="A141" s="1" t="s">
        <v>308</v>
      </c>
      <c r="D141" s="1" t="s">
        <v>310</v>
      </c>
      <c r="J141" s="1" t="s">
        <v>316</v>
      </c>
    </row>
    <row r="142" spans="1:10" x14ac:dyDescent="0.4">
      <c r="A142" s="1" t="s">
        <v>308</v>
      </c>
      <c r="D142" s="1" t="s">
        <v>313</v>
      </c>
      <c r="J142" s="1" t="s">
        <v>317</v>
      </c>
    </row>
    <row r="143" spans="1:10" x14ac:dyDescent="0.4">
      <c r="A143" s="1" t="s">
        <v>308</v>
      </c>
      <c r="D143" s="1" t="s">
        <v>311</v>
      </c>
      <c r="J143" s="1" t="s">
        <v>315</v>
      </c>
    </row>
    <row r="144" spans="1:10" x14ac:dyDescent="0.4">
      <c r="A144" s="1" t="s">
        <v>308</v>
      </c>
      <c r="D144" s="1" t="s">
        <v>312</v>
      </c>
    </row>
    <row r="146" spans="1:10" x14ac:dyDescent="0.4">
      <c r="A146" s="1" t="s">
        <v>41</v>
      </c>
      <c r="B146" s="1" t="s">
        <v>67</v>
      </c>
      <c r="D146" s="1" t="s">
        <v>319</v>
      </c>
    </row>
    <row r="147" spans="1:10" x14ac:dyDescent="0.4">
      <c r="A147" s="1" t="s">
        <v>41</v>
      </c>
      <c r="B147" s="1" t="s">
        <v>67</v>
      </c>
      <c r="D147" s="1" t="s">
        <v>318</v>
      </c>
      <c r="G147" s="1" t="s">
        <v>320</v>
      </c>
      <c r="J147" s="1" t="s">
        <v>330</v>
      </c>
    </row>
    <row r="148" spans="1:10" x14ac:dyDescent="0.4">
      <c r="A148" s="1" t="s">
        <v>41</v>
      </c>
      <c r="B148" s="1" t="s">
        <v>323</v>
      </c>
      <c r="D148" s="1" t="s">
        <v>321</v>
      </c>
      <c r="F148" s="1" t="s">
        <v>322</v>
      </c>
      <c r="J148" s="1" t="s">
        <v>324</v>
      </c>
    </row>
    <row r="149" spans="1:10" x14ac:dyDescent="0.4">
      <c r="A149" s="1" t="s">
        <v>41</v>
      </c>
      <c r="B149" s="1" t="s">
        <v>323</v>
      </c>
      <c r="D149" s="1" t="s">
        <v>325</v>
      </c>
      <c r="G149" s="1" t="s">
        <v>402</v>
      </c>
      <c r="J149" s="1" t="s">
        <v>329</v>
      </c>
    </row>
    <row r="150" spans="1:10" x14ac:dyDescent="0.4">
      <c r="A150" s="1" t="s">
        <v>41</v>
      </c>
      <c r="B150" s="1" t="s">
        <v>323</v>
      </c>
      <c r="D150" s="1" t="s">
        <v>326</v>
      </c>
      <c r="G150" s="1" t="s">
        <v>403</v>
      </c>
    </row>
    <row r="151" spans="1:10" x14ac:dyDescent="0.4">
      <c r="A151" s="1" t="s">
        <v>41</v>
      </c>
      <c r="B151" s="1" t="s">
        <v>323</v>
      </c>
      <c r="D151" s="1" t="s">
        <v>327</v>
      </c>
    </row>
    <row r="152" spans="1:10" x14ac:dyDescent="0.4">
      <c r="A152" s="1" t="s">
        <v>41</v>
      </c>
      <c r="B152" s="1" t="s">
        <v>328</v>
      </c>
      <c r="D152" s="1" t="s">
        <v>331</v>
      </c>
      <c r="F152" s="1" t="s">
        <v>352</v>
      </c>
      <c r="G152" s="1" t="s">
        <v>337</v>
      </c>
    </row>
    <row r="153" spans="1:10" x14ac:dyDescent="0.4">
      <c r="A153" s="1" t="s">
        <v>41</v>
      </c>
      <c r="B153" s="1" t="s">
        <v>328</v>
      </c>
      <c r="D153" s="1" t="s">
        <v>332</v>
      </c>
      <c r="G153" s="1" t="s">
        <v>401</v>
      </c>
    </row>
    <row r="154" spans="1:10" x14ac:dyDescent="0.4">
      <c r="A154" s="1" t="s">
        <v>41</v>
      </c>
      <c r="B154" s="1" t="s">
        <v>328</v>
      </c>
      <c r="D154" s="1" t="s">
        <v>333</v>
      </c>
      <c r="G154" s="1" t="s">
        <v>335</v>
      </c>
    </row>
    <row r="155" spans="1:10" x14ac:dyDescent="0.4">
      <c r="A155" s="1" t="s">
        <v>41</v>
      </c>
      <c r="B155" s="1" t="s">
        <v>328</v>
      </c>
      <c r="D155" s="1" t="s">
        <v>334</v>
      </c>
      <c r="G155" s="1" t="s">
        <v>336</v>
      </c>
    </row>
    <row r="156" spans="1:10" x14ac:dyDescent="0.4">
      <c r="A156" s="1" t="s">
        <v>41</v>
      </c>
      <c r="B156" s="1" t="s">
        <v>151</v>
      </c>
      <c r="D156" s="1" t="s">
        <v>338</v>
      </c>
      <c r="E156" s="1" t="s">
        <v>354</v>
      </c>
      <c r="F156" s="1" t="s">
        <v>345</v>
      </c>
      <c r="G156" s="1" t="s">
        <v>346</v>
      </c>
      <c r="I156" s="1" t="s">
        <v>348</v>
      </c>
    </row>
    <row r="157" spans="1:10" x14ac:dyDescent="0.4">
      <c r="A157" s="1" t="s">
        <v>41</v>
      </c>
      <c r="B157" s="1" t="s">
        <v>151</v>
      </c>
      <c r="D157" s="1" t="s">
        <v>339</v>
      </c>
      <c r="E157" s="1" t="s">
        <v>354</v>
      </c>
      <c r="F157" s="1" t="s">
        <v>344</v>
      </c>
      <c r="G157" s="1" t="s">
        <v>138</v>
      </c>
      <c r="J157" s="1" t="s">
        <v>347</v>
      </c>
    </row>
    <row r="158" spans="1:10" x14ac:dyDescent="0.4">
      <c r="A158" s="1" t="s">
        <v>41</v>
      </c>
      <c r="B158" s="1" t="s">
        <v>151</v>
      </c>
      <c r="D158" s="1" t="s">
        <v>340</v>
      </c>
      <c r="E158" s="1" t="s">
        <v>353</v>
      </c>
      <c r="G158" s="1" t="s">
        <v>349</v>
      </c>
      <c r="J158" s="1" t="s">
        <v>350</v>
      </c>
    </row>
    <row r="159" spans="1:10" x14ac:dyDescent="0.4">
      <c r="A159" s="1" t="s">
        <v>41</v>
      </c>
      <c r="B159" s="1" t="s">
        <v>151</v>
      </c>
      <c r="D159" s="1" t="s">
        <v>341</v>
      </c>
      <c r="E159" s="1" t="s">
        <v>353</v>
      </c>
      <c r="G159" s="1" t="s">
        <v>404</v>
      </c>
    </row>
    <row r="160" spans="1:10" x14ac:dyDescent="0.4">
      <c r="A160" s="1" t="s">
        <v>41</v>
      </c>
      <c r="B160" s="1" t="s">
        <v>151</v>
      </c>
      <c r="D160" s="1" t="s">
        <v>342</v>
      </c>
      <c r="E160" s="1" t="s">
        <v>353</v>
      </c>
      <c r="G160" s="1" t="s">
        <v>351</v>
      </c>
    </row>
    <row r="161" spans="1:10" x14ac:dyDescent="0.4">
      <c r="A161" s="1" t="s">
        <v>41</v>
      </c>
      <c r="B161" s="1" t="s">
        <v>151</v>
      </c>
      <c r="D161" s="1" t="s">
        <v>343</v>
      </c>
      <c r="E161" s="1" t="s">
        <v>353</v>
      </c>
      <c r="G161" s="1" t="s">
        <v>189</v>
      </c>
    </row>
    <row r="163" spans="1:10" x14ac:dyDescent="0.4">
      <c r="A163" s="1" t="s">
        <v>66</v>
      </c>
      <c r="B163" s="1" t="s">
        <v>137</v>
      </c>
      <c r="C163" s="1">
        <v>13</v>
      </c>
      <c r="D163" s="1" t="s">
        <v>356</v>
      </c>
      <c r="E163" s="1" t="s">
        <v>383</v>
      </c>
      <c r="G163" s="1" t="s">
        <v>382</v>
      </c>
      <c r="J163" s="1" t="s">
        <v>355</v>
      </c>
    </row>
    <row r="164" spans="1:10" x14ac:dyDescent="0.4">
      <c r="A164" s="1" t="s">
        <v>66</v>
      </c>
      <c r="B164" s="1" t="s">
        <v>137</v>
      </c>
      <c r="C164" s="1">
        <v>13</v>
      </c>
      <c r="D164" s="1" t="s">
        <v>357</v>
      </c>
      <c r="E164" s="1" t="s">
        <v>166</v>
      </c>
    </row>
    <row r="165" spans="1:10" x14ac:dyDescent="0.4">
      <c r="A165" s="1" t="s">
        <v>66</v>
      </c>
      <c r="B165" s="1" t="s">
        <v>137</v>
      </c>
      <c r="C165" s="1">
        <v>13</v>
      </c>
      <c r="D165" s="1" t="s">
        <v>358</v>
      </c>
      <c r="E165" s="1" t="s">
        <v>166</v>
      </c>
    </row>
    <row r="166" spans="1:10" x14ac:dyDescent="0.4">
      <c r="A166" s="1" t="s">
        <v>66</v>
      </c>
      <c r="B166" s="1" t="s">
        <v>137</v>
      </c>
      <c r="C166" s="1">
        <v>13</v>
      </c>
      <c r="D166" s="1" t="s">
        <v>359</v>
      </c>
      <c r="E166" s="1" t="s">
        <v>379</v>
      </c>
      <c r="F166" s="1">
        <v>1</v>
      </c>
      <c r="G166" s="1" t="s">
        <v>380</v>
      </c>
    </row>
    <row r="167" spans="1:10" ht="34.799999999999997" x14ac:dyDescent="0.4">
      <c r="A167" s="1" t="s">
        <v>66</v>
      </c>
      <c r="B167" s="1" t="s">
        <v>137</v>
      </c>
      <c r="C167" s="1">
        <v>13</v>
      </c>
      <c r="D167" s="1" t="s">
        <v>360</v>
      </c>
      <c r="E167" s="1" t="s">
        <v>25</v>
      </c>
      <c r="F167" s="1">
        <v>2</v>
      </c>
      <c r="G167" s="1" t="s">
        <v>378</v>
      </c>
      <c r="I167" s="2" t="s">
        <v>381</v>
      </c>
    </row>
    <row r="168" spans="1:10" x14ac:dyDescent="0.4">
      <c r="A168" s="1" t="s">
        <v>66</v>
      </c>
      <c r="B168" s="1" t="s">
        <v>137</v>
      </c>
      <c r="C168" s="1">
        <v>13</v>
      </c>
      <c r="D168" s="1" t="s">
        <v>361</v>
      </c>
      <c r="E168" s="1" t="s">
        <v>25</v>
      </c>
      <c r="F168" s="1">
        <v>2</v>
      </c>
      <c r="G168" s="1" t="s">
        <v>72</v>
      </c>
      <c r="J168" s="1" t="s">
        <v>377</v>
      </c>
    </row>
    <row r="169" spans="1:10" x14ac:dyDescent="0.4">
      <c r="A169" s="1" t="s">
        <v>66</v>
      </c>
      <c r="B169" s="1" t="s">
        <v>137</v>
      </c>
      <c r="C169" s="1">
        <v>13</v>
      </c>
      <c r="D169" s="1" t="s">
        <v>362</v>
      </c>
      <c r="E169" s="1" t="s">
        <v>369</v>
      </c>
      <c r="F169" s="1">
        <v>3</v>
      </c>
      <c r="G169" s="1" t="s">
        <v>374</v>
      </c>
    </row>
    <row r="170" spans="1:10" x14ac:dyDescent="0.4">
      <c r="A170" s="1" t="s">
        <v>66</v>
      </c>
      <c r="B170" s="1" t="s">
        <v>137</v>
      </c>
      <c r="C170" s="1">
        <v>13</v>
      </c>
      <c r="D170" s="1" t="s">
        <v>363</v>
      </c>
      <c r="E170" s="1" t="s">
        <v>369</v>
      </c>
      <c r="F170" s="1">
        <v>3</v>
      </c>
      <c r="G170" s="1" t="s">
        <v>375</v>
      </c>
      <c r="J170" s="1" t="s">
        <v>384</v>
      </c>
    </row>
    <row r="171" spans="1:10" x14ac:dyDescent="0.4">
      <c r="A171" s="1" t="s">
        <v>66</v>
      </c>
      <c r="B171" s="1" t="s">
        <v>137</v>
      </c>
      <c r="C171" s="1">
        <v>13</v>
      </c>
      <c r="D171" s="1" t="s">
        <v>364</v>
      </c>
      <c r="E171" s="1" t="s">
        <v>369</v>
      </c>
      <c r="F171" s="1">
        <v>3</v>
      </c>
      <c r="G171" s="1" t="s">
        <v>376</v>
      </c>
    </row>
    <row r="172" spans="1:10" x14ac:dyDescent="0.4">
      <c r="A172" s="1" t="s">
        <v>66</v>
      </c>
      <c r="B172" s="1" t="s">
        <v>137</v>
      </c>
      <c r="C172" s="1">
        <v>13</v>
      </c>
      <c r="D172" s="1" t="s">
        <v>365</v>
      </c>
      <c r="E172" s="1">
        <v>1</v>
      </c>
      <c r="F172" s="1">
        <v>1234</v>
      </c>
      <c r="G172" s="1" t="s">
        <v>370</v>
      </c>
    </row>
    <row r="173" spans="1:10" x14ac:dyDescent="0.4">
      <c r="A173" s="1" t="s">
        <v>66</v>
      </c>
      <c r="B173" s="1" t="s">
        <v>137</v>
      </c>
      <c r="C173" s="1">
        <v>13</v>
      </c>
      <c r="D173" s="1" t="s">
        <v>366</v>
      </c>
      <c r="E173" s="1">
        <v>2</v>
      </c>
      <c r="F173" s="1">
        <v>1234</v>
      </c>
      <c r="G173" s="1" t="s">
        <v>371</v>
      </c>
    </row>
    <row r="174" spans="1:10" x14ac:dyDescent="0.4">
      <c r="A174" s="1" t="s">
        <v>66</v>
      </c>
      <c r="B174" s="1" t="s">
        <v>137</v>
      </c>
      <c r="C174" s="1">
        <v>13</v>
      </c>
      <c r="D174" s="1" t="s">
        <v>367</v>
      </c>
      <c r="E174" s="1">
        <v>3</v>
      </c>
      <c r="F174" s="1">
        <v>1234</v>
      </c>
      <c r="G174" s="1" t="s">
        <v>372</v>
      </c>
    </row>
    <row r="175" spans="1:10" x14ac:dyDescent="0.4">
      <c r="A175" s="1" t="s">
        <v>66</v>
      </c>
      <c r="B175" s="1" t="s">
        <v>137</v>
      </c>
      <c r="C175" s="1">
        <v>13</v>
      </c>
      <c r="D175" s="1" t="s">
        <v>368</v>
      </c>
      <c r="E175" s="1">
        <v>4</v>
      </c>
      <c r="F175" s="1">
        <v>1234</v>
      </c>
      <c r="G175" s="1" t="s">
        <v>373</v>
      </c>
    </row>
    <row r="176" spans="1:10" x14ac:dyDescent="0.4">
      <c r="A176" s="1" t="s">
        <v>66</v>
      </c>
      <c r="B176" s="1" t="s">
        <v>138</v>
      </c>
      <c r="C176" s="1">
        <v>10</v>
      </c>
      <c r="D176" s="1" t="s">
        <v>385</v>
      </c>
      <c r="E176" s="1" t="s">
        <v>188</v>
      </c>
    </row>
    <row r="177" spans="1:10" x14ac:dyDescent="0.4">
      <c r="A177" s="1" t="s">
        <v>66</v>
      </c>
      <c r="B177" s="1" t="s">
        <v>138</v>
      </c>
      <c r="C177" s="1">
        <v>10</v>
      </c>
      <c r="D177" s="1" t="s">
        <v>388</v>
      </c>
      <c r="E177" s="1" t="s">
        <v>389</v>
      </c>
    </row>
    <row r="178" spans="1:10" x14ac:dyDescent="0.4">
      <c r="A178" s="1" t="s">
        <v>66</v>
      </c>
      <c r="B178" s="1" t="s">
        <v>138</v>
      </c>
      <c r="C178" s="1">
        <v>10</v>
      </c>
      <c r="D178" s="1" t="s">
        <v>386</v>
      </c>
      <c r="E178" s="1" t="s">
        <v>189</v>
      </c>
      <c r="G178" s="1" t="s">
        <v>300</v>
      </c>
    </row>
    <row r="179" spans="1:10" x14ac:dyDescent="0.4">
      <c r="A179" s="1" t="s">
        <v>66</v>
      </c>
      <c r="B179" s="1" t="s">
        <v>138</v>
      </c>
      <c r="C179" s="1">
        <v>10</v>
      </c>
      <c r="D179" s="1" t="s">
        <v>387</v>
      </c>
      <c r="E179" s="1" t="s">
        <v>189</v>
      </c>
      <c r="G179" s="1" t="s">
        <v>138</v>
      </c>
    </row>
    <row r="180" spans="1:10" x14ac:dyDescent="0.4">
      <c r="A180" s="1" t="s">
        <v>66</v>
      </c>
      <c r="B180" s="1" t="s">
        <v>138</v>
      </c>
      <c r="C180" s="1">
        <v>10</v>
      </c>
      <c r="D180" s="1" t="s">
        <v>390</v>
      </c>
      <c r="E180" s="1" t="s">
        <v>393</v>
      </c>
      <c r="G180" s="1" t="s">
        <v>374</v>
      </c>
    </row>
    <row r="181" spans="1:10" x14ac:dyDescent="0.4">
      <c r="A181" s="1" t="s">
        <v>66</v>
      </c>
      <c r="B181" s="1" t="s">
        <v>138</v>
      </c>
      <c r="C181" s="1">
        <v>10</v>
      </c>
      <c r="D181" s="1" t="s">
        <v>391</v>
      </c>
      <c r="E181" s="1" t="s">
        <v>393</v>
      </c>
      <c r="G181" s="1" t="s">
        <v>394</v>
      </c>
    </row>
    <row r="182" spans="1:10" x14ac:dyDescent="0.4">
      <c r="A182" s="1" t="s">
        <v>66</v>
      </c>
      <c r="B182" s="1" t="s">
        <v>138</v>
      </c>
      <c r="C182" s="1">
        <v>10</v>
      </c>
      <c r="D182" s="1" t="s">
        <v>392</v>
      </c>
      <c r="E182" s="1" t="s">
        <v>393</v>
      </c>
      <c r="G182" s="1" t="s">
        <v>181</v>
      </c>
      <c r="J182" s="1" t="s">
        <v>69</v>
      </c>
    </row>
    <row r="183" spans="1:10" x14ac:dyDescent="0.4">
      <c r="A183" s="1" t="s">
        <v>66</v>
      </c>
      <c r="B183" s="1" t="s">
        <v>138</v>
      </c>
      <c r="C183" s="1">
        <v>10</v>
      </c>
      <c r="D183" s="1" t="s">
        <v>395</v>
      </c>
      <c r="E183" s="1" t="s">
        <v>398</v>
      </c>
      <c r="G183" s="1" t="s">
        <v>400</v>
      </c>
    </row>
    <row r="184" spans="1:10" x14ac:dyDescent="0.4">
      <c r="A184" s="1" t="s">
        <v>66</v>
      </c>
      <c r="B184" s="1" t="s">
        <v>138</v>
      </c>
      <c r="C184" s="1">
        <v>10</v>
      </c>
      <c r="D184" s="1" t="s">
        <v>396</v>
      </c>
      <c r="E184" s="1" t="s">
        <v>398</v>
      </c>
      <c r="G184" s="1" t="s">
        <v>399</v>
      </c>
    </row>
    <row r="185" spans="1:10" x14ac:dyDescent="0.4">
      <c r="A185" s="1" t="s">
        <v>66</v>
      </c>
      <c r="B185" s="1" t="s">
        <v>138</v>
      </c>
      <c r="C185" s="1">
        <v>10</v>
      </c>
      <c r="D185" s="1" t="s">
        <v>397</v>
      </c>
      <c r="E185" s="1" t="s">
        <v>398</v>
      </c>
      <c r="G185" s="1" t="s">
        <v>167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33E3-6E34-4A0F-8A7A-BC6069320D6E}">
  <dimension ref="A2:Q81"/>
  <sheetViews>
    <sheetView topLeftCell="A67" zoomScaleNormal="100" workbookViewId="0">
      <selection activeCell="Q81" sqref="Q81"/>
    </sheetView>
  </sheetViews>
  <sheetFormatPr defaultColWidth="5.33203125" defaultRowHeight="17.399999999999999" x14ac:dyDescent="0.4"/>
  <cols>
    <col min="1" max="1" width="11.25" style="1" bestFit="1" customWidth="1"/>
    <col min="2" max="2" width="5.33203125" style="1"/>
    <col min="3" max="3" width="11.25" style="1" bestFit="1" customWidth="1"/>
    <col min="4" max="4" width="4.4140625" style="1" customWidth="1"/>
    <col min="5" max="5" width="24.33203125" style="1" bestFit="1" customWidth="1"/>
    <col min="6" max="6" width="22.9140625" style="1" bestFit="1" customWidth="1"/>
    <col min="7" max="8" width="5.33203125" style="1"/>
    <col min="9" max="9" width="6.1640625" style="1" bestFit="1" customWidth="1"/>
    <col min="10" max="15" width="5.33203125" style="1"/>
    <col min="16" max="16" width="6" style="1" bestFit="1" customWidth="1"/>
    <col min="17" max="16384" width="5.33203125" style="1"/>
  </cols>
  <sheetData>
    <row r="2" spans="1:16" x14ac:dyDescent="0.4">
      <c r="A2" s="1" t="s">
        <v>429</v>
      </c>
      <c r="B2" s="1">
        <v>15</v>
      </c>
      <c r="P2" s="1">
        <f>IF(ISBLANK(A2),,IF(ISBLANK(C2),1,0))</f>
        <v>1</v>
      </c>
    </row>
    <row r="3" spans="1:16" x14ac:dyDescent="0.4">
      <c r="A3" s="1" t="s">
        <v>429</v>
      </c>
      <c r="B3" s="1">
        <v>15</v>
      </c>
      <c r="C3" s="1" t="s">
        <v>430</v>
      </c>
      <c r="D3" s="1">
        <v>6</v>
      </c>
      <c r="E3" s="1" t="s">
        <v>431</v>
      </c>
      <c r="F3" s="1" t="s">
        <v>432</v>
      </c>
      <c r="P3" s="1">
        <f>IF(ISBLANK(A3),,IF(ISBLANK(C3),1,0))</f>
        <v>0</v>
      </c>
    </row>
    <row r="4" spans="1:16" ht="34.799999999999997" x14ac:dyDescent="0.4">
      <c r="A4" s="1" t="s">
        <v>429</v>
      </c>
      <c r="B4" s="1">
        <v>15</v>
      </c>
      <c r="C4" s="1" t="s">
        <v>433</v>
      </c>
      <c r="D4" s="1">
        <v>9</v>
      </c>
      <c r="E4" s="2" t="s">
        <v>434</v>
      </c>
      <c r="P4" s="1">
        <f t="shared" ref="P4:P67" si="0">IF(ISBLANK(A4),,IF(ISBLANK(C4),1,0))</f>
        <v>0</v>
      </c>
    </row>
    <row r="5" spans="1:16" x14ac:dyDescent="0.4">
      <c r="E5" s="2"/>
      <c r="P5" s="1">
        <f t="shared" si="0"/>
        <v>0</v>
      </c>
    </row>
    <row r="6" spans="1:16" x14ac:dyDescent="0.4">
      <c r="A6" s="1" t="s">
        <v>407</v>
      </c>
      <c r="B6" s="1">
        <v>15</v>
      </c>
      <c r="E6" s="1" t="s">
        <v>417</v>
      </c>
      <c r="P6" s="1">
        <f t="shared" si="0"/>
        <v>1</v>
      </c>
    </row>
    <row r="7" spans="1:16" x14ac:dyDescent="0.4">
      <c r="A7" s="1" t="s">
        <v>407</v>
      </c>
      <c r="B7" s="1">
        <v>15</v>
      </c>
      <c r="C7" s="1" t="s">
        <v>408</v>
      </c>
      <c r="D7" s="1">
        <v>2</v>
      </c>
      <c r="E7" s="1" t="s">
        <v>409</v>
      </c>
      <c r="P7" s="1">
        <f t="shared" si="0"/>
        <v>0</v>
      </c>
    </row>
    <row r="8" spans="1:16" x14ac:dyDescent="0.4">
      <c r="A8" s="1" t="s">
        <v>407</v>
      </c>
      <c r="B8" s="1">
        <v>15</v>
      </c>
      <c r="C8" s="1" t="s">
        <v>410</v>
      </c>
      <c r="D8" s="1">
        <v>6</v>
      </c>
      <c r="E8" s="1" t="s">
        <v>411</v>
      </c>
      <c r="F8" s="1" t="s">
        <v>412</v>
      </c>
      <c r="P8" s="1">
        <f t="shared" si="0"/>
        <v>0</v>
      </c>
    </row>
    <row r="9" spans="1:16" x14ac:dyDescent="0.4">
      <c r="A9" s="1" t="s">
        <v>407</v>
      </c>
      <c r="B9" s="1">
        <v>15</v>
      </c>
      <c r="C9" s="1" t="s">
        <v>413</v>
      </c>
      <c r="D9" s="1">
        <v>7</v>
      </c>
      <c r="E9" s="1" t="s">
        <v>415</v>
      </c>
      <c r="F9" s="1" t="s">
        <v>414</v>
      </c>
      <c r="P9" s="1">
        <f t="shared" si="0"/>
        <v>0</v>
      </c>
    </row>
    <row r="10" spans="1:16" x14ac:dyDescent="0.4">
      <c r="P10" s="1">
        <f t="shared" si="0"/>
        <v>0</v>
      </c>
    </row>
    <row r="11" spans="1:16" x14ac:dyDescent="0.4">
      <c r="A11" s="1" t="s">
        <v>33</v>
      </c>
      <c r="B11" s="1">
        <v>15</v>
      </c>
      <c r="E11" s="1" t="s">
        <v>488</v>
      </c>
      <c r="P11" s="1">
        <f t="shared" si="0"/>
        <v>1</v>
      </c>
    </row>
    <row r="12" spans="1:16" x14ac:dyDescent="0.4">
      <c r="A12" s="1" t="s">
        <v>33</v>
      </c>
      <c r="B12" s="1">
        <v>15</v>
      </c>
      <c r="C12" s="1" t="s">
        <v>36</v>
      </c>
      <c r="D12" s="1">
        <v>3</v>
      </c>
      <c r="E12" s="1" t="s">
        <v>472</v>
      </c>
      <c r="P12" s="1">
        <f t="shared" si="0"/>
        <v>0</v>
      </c>
    </row>
    <row r="13" spans="1:16" x14ac:dyDescent="0.4">
      <c r="A13" s="1" t="s">
        <v>33</v>
      </c>
      <c r="B13" s="1">
        <v>15</v>
      </c>
      <c r="C13" s="1" t="s">
        <v>137</v>
      </c>
      <c r="D13" s="1">
        <v>7</v>
      </c>
      <c r="E13" s="1" t="s">
        <v>473</v>
      </c>
      <c r="F13" s="1" t="s">
        <v>474</v>
      </c>
      <c r="P13" s="1">
        <f t="shared" si="0"/>
        <v>0</v>
      </c>
    </row>
    <row r="14" spans="1:16" x14ac:dyDescent="0.4">
      <c r="A14" s="1" t="s">
        <v>33</v>
      </c>
      <c r="B14" s="1">
        <v>15</v>
      </c>
      <c r="C14" s="1" t="s">
        <v>138</v>
      </c>
      <c r="D14" s="1">
        <v>5</v>
      </c>
      <c r="E14" s="1" t="s">
        <v>475</v>
      </c>
      <c r="F14" s="1" t="s">
        <v>476</v>
      </c>
      <c r="P14" s="1">
        <f t="shared" si="0"/>
        <v>0</v>
      </c>
    </row>
    <row r="15" spans="1:16" x14ac:dyDescent="0.4">
      <c r="P15" s="1">
        <f t="shared" si="0"/>
        <v>0</v>
      </c>
    </row>
    <row r="16" spans="1:16" x14ac:dyDescent="0.4">
      <c r="A16" s="1" t="s">
        <v>41</v>
      </c>
      <c r="B16" s="1">
        <v>16</v>
      </c>
      <c r="E16" s="1" t="s">
        <v>455</v>
      </c>
      <c r="P16" s="1">
        <f t="shared" si="0"/>
        <v>1</v>
      </c>
    </row>
    <row r="17" spans="1:16" x14ac:dyDescent="0.4">
      <c r="A17" s="1" t="s">
        <v>41</v>
      </c>
      <c r="B17" s="1">
        <v>16</v>
      </c>
      <c r="C17" s="1" t="s">
        <v>67</v>
      </c>
      <c r="D17" s="1">
        <v>2</v>
      </c>
      <c r="P17" s="1">
        <f t="shared" si="0"/>
        <v>0</v>
      </c>
    </row>
    <row r="18" spans="1:16" x14ac:dyDescent="0.4">
      <c r="A18" s="1" t="s">
        <v>41</v>
      </c>
      <c r="B18" s="1">
        <v>16</v>
      </c>
      <c r="C18" s="1" t="s">
        <v>323</v>
      </c>
      <c r="D18" s="1">
        <v>4</v>
      </c>
      <c r="E18" s="1" t="s">
        <v>491</v>
      </c>
      <c r="F18" s="1" t="s">
        <v>492</v>
      </c>
      <c r="P18" s="1">
        <f t="shared" si="0"/>
        <v>0</v>
      </c>
    </row>
    <row r="19" spans="1:16" x14ac:dyDescent="0.4">
      <c r="A19" s="1" t="s">
        <v>41</v>
      </c>
      <c r="B19" s="1">
        <v>16</v>
      </c>
      <c r="C19" s="1" t="s">
        <v>328</v>
      </c>
      <c r="D19" s="1">
        <v>4</v>
      </c>
      <c r="E19" s="1" t="s">
        <v>458</v>
      </c>
      <c r="P19" s="1">
        <f t="shared" si="0"/>
        <v>0</v>
      </c>
    </row>
    <row r="20" spans="1:16" x14ac:dyDescent="0.4">
      <c r="A20" s="1" t="s">
        <v>41</v>
      </c>
      <c r="B20" s="1">
        <v>16</v>
      </c>
      <c r="C20" s="1" t="s">
        <v>151</v>
      </c>
      <c r="D20" s="1">
        <v>6</v>
      </c>
      <c r="E20" s="1" t="s">
        <v>456</v>
      </c>
      <c r="F20" s="1" t="s">
        <v>457</v>
      </c>
      <c r="P20" s="1">
        <f t="shared" si="0"/>
        <v>0</v>
      </c>
    </row>
    <row r="21" spans="1:16" x14ac:dyDescent="0.4">
      <c r="P21" s="1">
        <f t="shared" si="0"/>
        <v>0</v>
      </c>
    </row>
    <row r="22" spans="1:16" x14ac:dyDescent="0.4">
      <c r="P22" s="1">
        <f t="shared" si="0"/>
        <v>0</v>
      </c>
    </row>
    <row r="23" spans="1:16" x14ac:dyDescent="0.4">
      <c r="A23" s="1" t="s">
        <v>416</v>
      </c>
      <c r="B23" s="1">
        <v>46</v>
      </c>
      <c r="P23" s="1">
        <f t="shared" si="0"/>
        <v>1</v>
      </c>
    </row>
    <row r="24" spans="1:16" x14ac:dyDescent="0.4">
      <c r="A24" s="1" t="s">
        <v>416</v>
      </c>
      <c r="B24" s="1">
        <v>46</v>
      </c>
      <c r="C24" s="1" t="s">
        <v>88</v>
      </c>
      <c r="D24" s="1">
        <v>11</v>
      </c>
      <c r="E24" s="1" t="s">
        <v>420</v>
      </c>
      <c r="P24" s="1">
        <f t="shared" si="0"/>
        <v>0</v>
      </c>
    </row>
    <row r="25" spans="1:16" x14ac:dyDescent="0.4">
      <c r="A25" s="1" t="s">
        <v>416</v>
      </c>
      <c r="B25" s="1">
        <v>46</v>
      </c>
      <c r="C25" s="1" t="s">
        <v>190</v>
      </c>
      <c r="D25" s="1">
        <v>6</v>
      </c>
      <c r="E25" s="1" t="s">
        <v>423</v>
      </c>
      <c r="P25" s="1">
        <f t="shared" si="0"/>
        <v>0</v>
      </c>
    </row>
    <row r="26" spans="1:16" x14ac:dyDescent="0.4">
      <c r="A26" s="1" t="s">
        <v>416</v>
      </c>
      <c r="B26" s="1">
        <v>46</v>
      </c>
      <c r="C26" s="1" t="s">
        <v>418</v>
      </c>
      <c r="D26" s="1">
        <v>14</v>
      </c>
      <c r="E26" s="1" t="s">
        <v>424</v>
      </c>
      <c r="F26" s="1" t="s">
        <v>425</v>
      </c>
      <c r="P26" s="1">
        <f t="shared" si="0"/>
        <v>0</v>
      </c>
    </row>
    <row r="27" spans="1:16" ht="52.2" x14ac:dyDescent="0.4">
      <c r="A27" s="1" t="s">
        <v>416</v>
      </c>
      <c r="B27" s="1">
        <v>46</v>
      </c>
      <c r="C27" s="1" t="s">
        <v>419</v>
      </c>
      <c r="D27" s="1">
        <v>15</v>
      </c>
      <c r="E27" s="2" t="s">
        <v>422</v>
      </c>
      <c r="F27" s="2" t="s">
        <v>421</v>
      </c>
      <c r="P27" s="1">
        <f t="shared" si="0"/>
        <v>0</v>
      </c>
    </row>
    <row r="28" spans="1:16" x14ac:dyDescent="0.4">
      <c r="P28" s="1">
        <f t="shared" si="0"/>
        <v>0</v>
      </c>
    </row>
    <row r="29" spans="1:16" x14ac:dyDescent="0.4">
      <c r="P29" s="1">
        <f t="shared" si="0"/>
        <v>0</v>
      </c>
    </row>
    <row r="30" spans="1:16" x14ac:dyDescent="0.4">
      <c r="P30" s="1">
        <f t="shared" si="0"/>
        <v>0</v>
      </c>
    </row>
    <row r="31" spans="1:16" x14ac:dyDescent="0.4">
      <c r="A31" s="1" t="s">
        <v>91</v>
      </c>
      <c r="B31" s="1">
        <v>19</v>
      </c>
      <c r="E31" s="1" t="s">
        <v>490</v>
      </c>
      <c r="P31" s="1">
        <f t="shared" si="0"/>
        <v>1</v>
      </c>
    </row>
    <row r="32" spans="1:16" x14ac:dyDescent="0.4">
      <c r="A32" s="1" t="s">
        <v>91</v>
      </c>
      <c r="B32" s="1">
        <v>19</v>
      </c>
      <c r="C32" s="1" t="s">
        <v>93</v>
      </c>
      <c r="D32" s="1">
        <v>6</v>
      </c>
      <c r="E32" s="1" t="s">
        <v>465</v>
      </c>
      <c r="F32" s="1" t="s">
        <v>466</v>
      </c>
      <c r="P32" s="1">
        <f t="shared" si="0"/>
        <v>0</v>
      </c>
    </row>
    <row r="33" spans="1:16" x14ac:dyDescent="0.4">
      <c r="A33" s="1" t="s">
        <v>91</v>
      </c>
      <c r="B33" s="1">
        <v>19</v>
      </c>
      <c r="C33" s="1" t="s">
        <v>92</v>
      </c>
      <c r="D33" s="1">
        <v>3</v>
      </c>
      <c r="E33" s="1" t="s">
        <v>467</v>
      </c>
      <c r="P33" s="1">
        <f t="shared" si="0"/>
        <v>0</v>
      </c>
    </row>
    <row r="34" spans="1:16" x14ac:dyDescent="0.4">
      <c r="A34" s="1" t="s">
        <v>91</v>
      </c>
      <c r="B34" s="1">
        <v>19</v>
      </c>
      <c r="C34" s="1" t="s">
        <v>94</v>
      </c>
      <c r="D34" s="1">
        <v>10</v>
      </c>
      <c r="E34" s="1" t="s">
        <v>468</v>
      </c>
      <c r="F34" s="1" t="s">
        <v>469</v>
      </c>
      <c r="P34" s="1">
        <f t="shared" si="0"/>
        <v>0</v>
      </c>
    </row>
    <row r="35" spans="1:16" x14ac:dyDescent="0.4">
      <c r="P35" s="1">
        <f t="shared" si="0"/>
        <v>0</v>
      </c>
    </row>
    <row r="36" spans="1:16" x14ac:dyDescent="0.4">
      <c r="P36" s="1">
        <f t="shared" si="0"/>
        <v>0</v>
      </c>
    </row>
    <row r="37" spans="1:16" x14ac:dyDescent="0.4">
      <c r="P37" s="1">
        <f t="shared" si="0"/>
        <v>0</v>
      </c>
    </row>
    <row r="38" spans="1:16" x14ac:dyDescent="0.4">
      <c r="A38" s="1" t="s">
        <v>143</v>
      </c>
      <c r="B38" s="1">
        <v>9</v>
      </c>
      <c r="P38" s="1">
        <f t="shared" si="0"/>
        <v>1</v>
      </c>
    </row>
    <row r="39" spans="1:16" x14ac:dyDescent="0.4">
      <c r="A39" s="1" t="s">
        <v>143</v>
      </c>
      <c r="B39" s="1">
        <v>9</v>
      </c>
      <c r="C39" s="1" t="s">
        <v>435</v>
      </c>
      <c r="D39" s="1">
        <v>4</v>
      </c>
      <c r="E39" s="1" t="s">
        <v>437</v>
      </c>
      <c r="P39" s="1">
        <f t="shared" si="0"/>
        <v>0</v>
      </c>
    </row>
    <row r="40" spans="1:16" x14ac:dyDescent="0.4">
      <c r="A40" s="1" t="s">
        <v>143</v>
      </c>
      <c r="B40" s="1">
        <v>9</v>
      </c>
      <c r="C40" s="1" t="s">
        <v>436</v>
      </c>
      <c r="D40" s="1">
        <v>5</v>
      </c>
      <c r="E40" s="1" t="s">
        <v>438</v>
      </c>
      <c r="F40" s="1" t="s">
        <v>439</v>
      </c>
      <c r="P40" s="1">
        <f t="shared" si="0"/>
        <v>0</v>
      </c>
    </row>
    <row r="41" spans="1:16" x14ac:dyDescent="0.4">
      <c r="P41" s="1">
        <f t="shared" si="0"/>
        <v>0</v>
      </c>
    </row>
    <row r="42" spans="1:16" x14ac:dyDescent="0.4">
      <c r="A42" s="1" t="s">
        <v>66</v>
      </c>
      <c r="B42" s="1">
        <v>23</v>
      </c>
      <c r="P42" s="1">
        <f t="shared" si="0"/>
        <v>1</v>
      </c>
    </row>
    <row r="43" spans="1:16" ht="34.799999999999997" x14ac:dyDescent="0.4">
      <c r="A43" s="1" t="s">
        <v>66</v>
      </c>
      <c r="B43" s="1">
        <v>23</v>
      </c>
      <c r="C43" s="1" t="s">
        <v>137</v>
      </c>
      <c r="D43" s="1">
        <v>13</v>
      </c>
      <c r="E43" s="2" t="s">
        <v>479</v>
      </c>
      <c r="P43" s="1">
        <f t="shared" si="0"/>
        <v>0</v>
      </c>
    </row>
    <row r="44" spans="1:16" x14ac:dyDescent="0.4">
      <c r="A44" s="1" t="s">
        <v>66</v>
      </c>
      <c r="B44" s="1">
        <v>23</v>
      </c>
      <c r="C44" s="1" t="s">
        <v>138</v>
      </c>
      <c r="D44" s="1">
        <v>10</v>
      </c>
      <c r="E44" s="1" t="s">
        <v>480</v>
      </c>
      <c r="F44" s="1" t="s">
        <v>481</v>
      </c>
      <c r="P44" s="1">
        <f t="shared" si="0"/>
        <v>0</v>
      </c>
    </row>
    <row r="45" spans="1:16" x14ac:dyDescent="0.4">
      <c r="P45" s="1">
        <f t="shared" si="0"/>
        <v>0</v>
      </c>
    </row>
    <row r="46" spans="1:16" x14ac:dyDescent="0.4">
      <c r="A46" s="1" t="s">
        <v>32</v>
      </c>
      <c r="B46" s="1">
        <v>12</v>
      </c>
      <c r="P46" s="1">
        <f t="shared" si="0"/>
        <v>1</v>
      </c>
    </row>
    <row r="47" spans="1:16" x14ac:dyDescent="0.4">
      <c r="A47" s="1" t="s">
        <v>32</v>
      </c>
      <c r="B47" s="1">
        <v>12</v>
      </c>
      <c r="C47" s="1" t="s">
        <v>6</v>
      </c>
      <c r="D47" s="1">
        <v>3</v>
      </c>
      <c r="P47" s="1">
        <f t="shared" si="0"/>
        <v>0</v>
      </c>
    </row>
    <row r="48" spans="1:16" x14ac:dyDescent="0.4">
      <c r="A48" s="1" t="s">
        <v>32</v>
      </c>
      <c r="B48" s="1">
        <v>12</v>
      </c>
      <c r="C48" s="1" t="s">
        <v>1</v>
      </c>
      <c r="D48" s="1">
        <v>4</v>
      </c>
      <c r="E48" s="1" t="s">
        <v>478</v>
      </c>
      <c r="P48" s="1">
        <f t="shared" si="0"/>
        <v>0</v>
      </c>
    </row>
    <row r="49" spans="1:16" x14ac:dyDescent="0.4">
      <c r="A49" s="1" t="s">
        <v>32</v>
      </c>
      <c r="B49" s="1">
        <v>12</v>
      </c>
      <c r="C49" s="1" t="s">
        <v>10</v>
      </c>
      <c r="D49" s="1">
        <v>5</v>
      </c>
      <c r="E49" s="1" t="s">
        <v>477</v>
      </c>
      <c r="P49" s="1">
        <f t="shared" si="0"/>
        <v>0</v>
      </c>
    </row>
    <row r="50" spans="1:16" x14ac:dyDescent="0.4">
      <c r="P50" s="1">
        <f t="shared" si="0"/>
        <v>0</v>
      </c>
    </row>
    <row r="51" spans="1:16" x14ac:dyDescent="0.4">
      <c r="A51" s="1" t="s">
        <v>253</v>
      </c>
      <c r="B51" s="1">
        <v>13</v>
      </c>
      <c r="E51" s="1" t="s">
        <v>462</v>
      </c>
      <c r="P51" s="1">
        <f t="shared" si="0"/>
        <v>1</v>
      </c>
    </row>
    <row r="52" spans="1:16" x14ac:dyDescent="0.4">
      <c r="P52" s="1">
        <f t="shared" si="0"/>
        <v>0</v>
      </c>
    </row>
    <row r="53" spans="1:16" x14ac:dyDescent="0.4">
      <c r="P53" s="1">
        <f t="shared" si="0"/>
        <v>0</v>
      </c>
    </row>
    <row r="54" spans="1:16" x14ac:dyDescent="0.4">
      <c r="A54" s="1" t="s">
        <v>129</v>
      </c>
      <c r="B54" s="1">
        <v>24</v>
      </c>
      <c r="E54" s="1" t="s">
        <v>459</v>
      </c>
      <c r="P54" s="1">
        <f t="shared" si="0"/>
        <v>1</v>
      </c>
    </row>
    <row r="55" spans="1:16" x14ac:dyDescent="0.4">
      <c r="A55" s="1" t="s">
        <v>129</v>
      </c>
      <c r="B55" s="1">
        <v>24</v>
      </c>
      <c r="C55" s="1" t="s">
        <v>320</v>
      </c>
      <c r="D55" s="1">
        <v>8</v>
      </c>
      <c r="E55" s="1" t="s">
        <v>447</v>
      </c>
      <c r="P55" s="1">
        <f t="shared" si="0"/>
        <v>0</v>
      </c>
    </row>
    <row r="56" spans="1:16" x14ac:dyDescent="0.4">
      <c r="A56" s="1" t="s">
        <v>129</v>
      </c>
      <c r="B56" s="1">
        <v>24</v>
      </c>
      <c r="C56" s="1" t="s">
        <v>448</v>
      </c>
      <c r="D56" s="1">
        <v>5</v>
      </c>
      <c r="E56" s="1" t="s">
        <v>449</v>
      </c>
      <c r="P56" s="1">
        <f t="shared" si="0"/>
        <v>0</v>
      </c>
    </row>
    <row r="57" spans="1:16" x14ac:dyDescent="0.4">
      <c r="A57" s="1" t="s">
        <v>129</v>
      </c>
      <c r="B57" s="1">
        <v>24</v>
      </c>
      <c r="C57" s="1" t="s">
        <v>50</v>
      </c>
      <c r="D57" s="1">
        <v>7</v>
      </c>
      <c r="E57" s="1" t="s">
        <v>451</v>
      </c>
      <c r="F57" s="1" t="s">
        <v>452</v>
      </c>
      <c r="P57" s="1">
        <f t="shared" si="0"/>
        <v>0</v>
      </c>
    </row>
    <row r="58" spans="1:16" x14ac:dyDescent="0.4">
      <c r="A58" s="1" t="s">
        <v>129</v>
      </c>
      <c r="B58" s="1">
        <v>24</v>
      </c>
      <c r="C58" s="1" t="s">
        <v>450</v>
      </c>
      <c r="D58" s="1">
        <v>4</v>
      </c>
      <c r="E58" s="1" t="s">
        <v>453</v>
      </c>
      <c r="F58" s="1" t="s">
        <v>454</v>
      </c>
      <c r="P58" s="1">
        <f t="shared" si="0"/>
        <v>0</v>
      </c>
    </row>
    <row r="59" spans="1:16" x14ac:dyDescent="0.4">
      <c r="P59" s="1">
        <f t="shared" si="0"/>
        <v>0</v>
      </c>
    </row>
    <row r="60" spans="1:16" x14ac:dyDescent="0.4">
      <c r="P60" s="1">
        <f t="shared" si="0"/>
        <v>0</v>
      </c>
    </row>
    <row r="61" spans="1:16" x14ac:dyDescent="0.4">
      <c r="A61" s="1" t="s">
        <v>440</v>
      </c>
      <c r="B61" s="1">
        <v>25</v>
      </c>
      <c r="E61" s="1" t="s">
        <v>489</v>
      </c>
      <c r="P61" s="1">
        <f t="shared" si="0"/>
        <v>1</v>
      </c>
    </row>
    <row r="62" spans="1:16" x14ac:dyDescent="0.4">
      <c r="A62" s="1" t="s">
        <v>440</v>
      </c>
      <c r="B62" s="1">
        <v>25</v>
      </c>
      <c r="C62" s="1" t="s">
        <v>137</v>
      </c>
      <c r="D62" s="1">
        <v>5</v>
      </c>
      <c r="E62" s="1" t="s">
        <v>443</v>
      </c>
      <c r="P62" s="1">
        <f t="shared" si="0"/>
        <v>0</v>
      </c>
    </row>
    <row r="63" spans="1:16" x14ac:dyDescent="0.4">
      <c r="A63" s="1" t="s">
        <v>440</v>
      </c>
      <c r="B63" s="1">
        <v>25</v>
      </c>
      <c r="C63" s="1" t="s">
        <v>138</v>
      </c>
      <c r="D63" s="1">
        <v>11</v>
      </c>
      <c r="E63" s="1" t="s">
        <v>442</v>
      </c>
      <c r="F63" s="1" t="s">
        <v>446</v>
      </c>
      <c r="P63" s="1">
        <f t="shared" si="0"/>
        <v>0</v>
      </c>
    </row>
    <row r="64" spans="1:16" x14ac:dyDescent="0.4">
      <c r="A64" s="1" t="s">
        <v>440</v>
      </c>
      <c r="B64" s="1">
        <v>25</v>
      </c>
      <c r="C64" s="1" t="s">
        <v>441</v>
      </c>
      <c r="D64" s="1">
        <v>9</v>
      </c>
      <c r="E64" s="1" t="s">
        <v>444</v>
      </c>
      <c r="F64" s="1" t="s">
        <v>445</v>
      </c>
      <c r="P64" s="1">
        <f t="shared" si="0"/>
        <v>0</v>
      </c>
    </row>
    <row r="65" spans="1:16" x14ac:dyDescent="0.4">
      <c r="P65" s="1">
        <f t="shared" si="0"/>
        <v>0</v>
      </c>
    </row>
    <row r="66" spans="1:16" x14ac:dyDescent="0.4">
      <c r="A66" s="1" t="s">
        <v>286</v>
      </c>
      <c r="B66" s="1">
        <v>6</v>
      </c>
      <c r="E66" s="1" t="s">
        <v>461</v>
      </c>
      <c r="P66" s="1">
        <f t="shared" si="0"/>
        <v>1</v>
      </c>
    </row>
    <row r="67" spans="1:16" x14ac:dyDescent="0.4">
      <c r="P67" s="1">
        <f t="shared" si="0"/>
        <v>0</v>
      </c>
    </row>
    <row r="68" spans="1:16" x14ac:dyDescent="0.4">
      <c r="A68" s="1" t="s">
        <v>426</v>
      </c>
      <c r="B68" s="1">
        <v>4</v>
      </c>
      <c r="E68" s="1" t="s">
        <v>427</v>
      </c>
      <c r="F68" s="1" t="s">
        <v>428</v>
      </c>
      <c r="P68" s="1">
        <f t="shared" ref="P68:P79" si="1">IF(ISBLANK(A68),,IF(ISBLANK(C68),1,0))</f>
        <v>1</v>
      </c>
    </row>
    <row r="69" spans="1:16" x14ac:dyDescent="0.4">
      <c r="A69" s="1" t="s">
        <v>308</v>
      </c>
      <c r="B69" s="1">
        <v>5</v>
      </c>
      <c r="E69" s="1" t="s">
        <v>460</v>
      </c>
      <c r="P69" s="1">
        <f t="shared" si="1"/>
        <v>1</v>
      </c>
    </row>
    <row r="70" spans="1:16" x14ac:dyDescent="0.4">
      <c r="A70" s="1" t="s">
        <v>405</v>
      </c>
      <c r="B70" s="1">
        <v>6</v>
      </c>
      <c r="E70" s="1" t="s">
        <v>406</v>
      </c>
      <c r="P70" s="1">
        <f t="shared" si="1"/>
        <v>1</v>
      </c>
    </row>
    <row r="71" spans="1:16" x14ac:dyDescent="0.4">
      <c r="A71" s="1" t="s">
        <v>72</v>
      </c>
      <c r="B71" s="1">
        <v>7</v>
      </c>
      <c r="E71" s="1" t="s">
        <v>470</v>
      </c>
      <c r="F71" s="1" t="s">
        <v>471</v>
      </c>
      <c r="P71" s="1">
        <f t="shared" si="1"/>
        <v>1</v>
      </c>
    </row>
    <row r="72" spans="1:16" x14ac:dyDescent="0.4">
      <c r="A72" s="1" t="s">
        <v>229</v>
      </c>
      <c r="B72" s="1">
        <v>8</v>
      </c>
      <c r="E72" s="1" t="s">
        <v>463</v>
      </c>
      <c r="F72" s="1" t="s">
        <v>464</v>
      </c>
      <c r="P72" s="1">
        <f t="shared" si="1"/>
        <v>1</v>
      </c>
    </row>
    <row r="73" spans="1:16" x14ac:dyDescent="0.4">
      <c r="P73" s="1">
        <f t="shared" si="1"/>
        <v>0</v>
      </c>
    </row>
    <row r="74" spans="1:16" x14ac:dyDescent="0.4">
      <c r="A74" s="1" t="s">
        <v>147</v>
      </c>
      <c r="B74" s="1">
        <v>50</v>
      </c>
      <c r="P74" s="1">
        <f t="shared" si="1"/>
        <v>1</v>
      </c>
    </row>
    <row r="75" spans="1:16" x14ac:dyDescent="0.4">
      <c r="A75" s="1" t="s">
        <v>147</v>
      </c>
      <c r="B75" s="1">
        <v>50</v>
      </c>
      <c r="C75" s="1" t="s">
        <v>149</v>
      </c>
      <c r="D75" s="1">
        <v>5</v>
      </c>
      <c r="E75" s="1" t="s">
        <v>482</v>
      </c>
      <c r="P75" s="1">
        <f t="shared" si="1"/>
        <v>0</v>
      </c>
    </row>
    <row r="76" spans="1:16" x14ac:dyDescent="0.4">
      <c r="A76" s="1" t="s">
        <v>147</v>
      </c>
      <c r="B76" s="1">
        <v>50</v>
      </c>
      <c r="C76" s="1" t="s">
        <v>151</v>
      </c>
      <c r="D76" s="1">
        <v>6</v>
      </c>
      <c r="E76" s="1" t="s">
        <v>483</v>
      </c>
      <c r="F76" s="1" t="s">
        <v>484</v>
      </c>
      <c r="P76" s="1">
        <f t="shared" si="1"/>
        <v>0</v>
      </c>
    </row>
    <row r="77" spans="1:16" x14ac:dyDescent="0.4">
      <c r="A77" s="1" t="s">
        <v>147</v>
      </c>
      <c r="B77" s="1">
        <v>50</v>
      </c>
      <c r="C77" s="1" t="s">
        <v>81</v>
      </c>
      <c r="D77" s="1">
        <v>7</v>
      </c>
      <c r="E77" s="1" t="s">
        <v>485</v>
      </c>
      <c r="P77" s="1">
        <f t="shared" si="1"/>
        <v>0</v>
      </c>
    </row>
    <row r="78" spans="1:16" x14ac:dyDescent="0.4">
      <c r="A78" s="1" t="s">
        <v>147</v>
      </c>
      <c r="B78" s="1">
        <v>50</v>
      </c>
      <c r="C78" s="1" t="s">
        <v>148</v>
      </c>
      <c r="D78" s="1">
        <v>8</v>
      </c>
      <c r="E78" s="1" t="s">
        <v>486</v>
      </c>
      <c r="P78" s="1">
        <f t="shared" si="1"/>
        <v>0</v>
      </c>
    </row>
    <row r="79" spans="1:16" ht="69.599999999999994" x14ac:dyDescent="0.4">
      <c r="A79" s="1" t="s">
        <v>147</v>
      </c>
      <c r="B79" s="1">
        <v>50</v>
      </c>
      <c r="C79" s="1" t="s">
        <v>152</v>
      </c>
      <c r="D79" s="1">
        <v>9</v>
      </c>
      <c r="E79" s="2" t="s">
        <v>487</v>
      </c>
      <c r="P79" s="1">
        <f t="shared" si="1"/>
        <v>0</v>
      </c>
    </row>
    <row r="81" spans="17:17" x14ac:dyDescent="0.4">
      <c r="Q81" s="1">
        <f>SUMPRODUCT(B:B,P:P)</f>
        <v>318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82488-BE3B-42AB-BF9C-0C74658490DA}">
  <dimension ref="A1:L63"/>
  <sheetViews>
    <sheetView workbookViewId="0">
      <pane ySplit="1" topLeftCell="A50" activePane="bottomLeft" state="frozen"/>
      <selection activeCell="G64" sqref="G64"/>
      <selection pane="bottomLeft" activeCell="G64" sqref="G64"/>
    </sheetView>
  </sheetViews>
  <sheetFormatPr defaultRowHeight="17.399999999999999" x14ac:dyDescent="0.4"/>
  <cols>
    <col min="1" max="2" width="7.83203125" style="1" bestFit="1" customWidth="1"/>
    <col min="3" max="3" width="3.6640625" style="1" customWidth="1"/>
    <col min="4" max="4" width="13.08203125" style="1" bestFit="1" customWidth="1"/>
    <col min="5" max="5" width="8.6640625" style="1"/>
    <col min="6" max="6" width="12.6640625" style="1" bestFit="1" customWidth="1"/>
    <col min="7" max="7" width="8.6640625" style="1"/>
    <col min="8" max="8" width="10" style="1" customWidth="1"/>
    <col min="10" max="10" width="15.4140625" style="1" bestFit="1" customWidth="1"/>
    <col min="11" max="11" width="19.08203125" style="1" customWidth="1"/>
    <col min="12" max="16384" width="8.6640625" style="1"/>
  </cols>
  <sheetData>
    <row r="1" spans="1:12" x14ac:dyDescent="0.4">
      <c r="B1" s="1" t="s">
        <v>16</v>
      </c>
      <c r="D1" s="1" t="s">
        <v>493</v>
      </c>
      <c r="E1" s="1" t="s">
        <v>17</v>
      </c>
      <c r="F1" s="1" t="s">
        <v>145</v>
      </c>
      <c r="G1" s="1" t="s">
        <v>494</v>
      </c>
      <c r="H1" s="1" t="s">
        <v>495</v>
      </c>
      <c r="J1" s="1" t="s">
        <v>19</v>
      </c>
      <c r="K1" s="1" t="s">
        <v>496</v>
      </c>
      <c r="L1" s="1" t="s">
        <v>497</v>
      </c>
    </row>
    <row r="2" spans="1:12" ht="52.2" x14ac:dyDescent="0.4">
      <c r="A2" s="1" t="s">
        <v>32</v>
      </c>
      <c r="B2" s="1" t="s">
        <v>137</v>
      </c>
      <c r="C2" s="1">
        <v>3</v>
      </c>
      <c r="D2" s="1" t="s">
        <v>498</v>
      </c>
      <c r="F2" s="1" t="s">
        <v>499</v>
      </c>
      <c r="H2" s="2" t="s">
        <v>500</v>
      </c>
      <c r="J2" s="2" t="s">
        <v>501</v>
      </c>
      <c r="K2" s="3" t="s">
        <v>502</v>
      </c>
    </row>
    <row r="3" spans="1:12" x14ac:dyDescent="0.4">
      <c r="A3" s="1" t="s">
        <v>32</v>
      </c>
      <c r="B3" s="1" t="s">
        <v>137</v>
      </c>
      <c r="C3" s="1">
        <v>3</v>
      </c>
      <c r="D3" s="1" t="s">
        <v>503</v>
      </c>
      <c r="H3" s="1" t="s">
        <v>504</v>
      </c>
    </row>
    <row r="4" spans="1:12" x14ac:dyDescent="0.4">
      <c r="A4" s="1" t="s">
        <v>32</v>
      </c>
      <c r="B4" s="1" t="s">
        <v>137</v>
      </c>
      <c r="C4" s="1">
        <v>3</v>
      </c>
      <c r="D4" s="1" t="s">
        <v>505</v>
      </c>
      <c r="G4" s="1" t="s">
        <v>506</v>
      </c>
      <c r="J4" s="1" t="s">
        <v>507</v>
      </c>
      <c r="K4" s="3" t="s">
        <v>508</v>
      </c>
    </row>
    <row r="5" spans="1:12" x14ac:dyDescent="0.4">
      <c r="A5" s="1" t="s">
        <v>32</v>
      </c>
      <c r="B5" s="1" t="s">
        <v>509</v>
      </c>
      <c r="C5" s="1">
        <v>1</v>
      </c>
      <c r="D5" s="1" t="s">
        <v>510</v>
      </c>
    </row>
    <row r="6" spans="1:12" x14ac:dyDescent="0.4">
      <c r="A6" s="1" t="s">
        <v>32</v>
      </c>
      <c r="B6" s="1" t="s">
        <v>511</v>
      </c>
      <c r="C6" s="1">
        <v>2</v>
      </c>
      <c r="D6" s="1" t="s">
        <v>512</v>
      </c>
      <c r="G6" s="1" t="s">
        <v>513</v>
      </c>
    </row>
    <row r="7" spans="1:12" x14ac:dyDescent="0.4">
      <c r="A7" s="1" t="s">
        <v>32</v>
      </c>
      <c r="B7" s="1" t="s">
        <v>511</v>
      </c>
      <c r="C7" s="1">
        <v>2</v>
      </c>
      <c r="D7" s="1" t="s">
        <v>514</v>
      </c>
    </row>
    <row r="8" spans="1:12" x14ac:dyDescent="0.4">
      <c r="A8" s="1" t="s">
        <v>32</v>
      </c>
      <c r="B8" s="1" t="s">
        <v>10</v>
      </c>
      <c r="C8" s="1">
        <v>1</v>
      </c>
      <c r="D8" s="1" t="s">
        <v>515</v>
      </c>
    </row>
    <row r="9" spans="1:12" x14ac:dyDescent="0.4">
      <c r="A9" s="1" t="s">
        <v>32</v>
      </c>
      <c r="B9" s="1" t="s">
        <v>516</v>
      </c>
      <c r="C9" s="1">
        <v>1</v>
      </c>
      <c r="D9" s="1" t="s">
        <v>517</v>
      </c>
    </row>
    <row r="11" spans="1:12" x14ac:dyDescent="0.4">
      <c r="A11" s="1" t="s">
        <v>518</v>
      </c>
      <c r="B11" s="1" t="s">
        <v>519</v>
      </c>
      <c r="C11" s="1">
        <v>2</v>
      </c>
      <c r="D11" s="1" t="s">
        <v>520</v>
      </c>
      <c r="F11" s="1" t="s">
        <v>521</v>
      </c>
      <c r="J11" s="1" t="s">
        <v>522</v>
      </c>
    </row>
    <row r="12" spans="1:12" x14ac:dyDescent="0.4">
      <c r="A12" s="1" t="s">
        <v>518</v>
      </c>
      <c r="B12" s="1" t="s">
        <v>519</v>
      </c>
      <c r="C12" s="1">
        <v>2</v>
      </c>
      <c r="D12" s="1" t="s">
        <v>523</v>
      </c>
      <c r="F12" s="1" t="s">
        <v>71</v>
      </c>
      <c r="J12" s="1" t="s">
        <v>524</v>
      </c>
    </row>
    <row r="13" spans="1:12" x14ac:dyDescent="0.4">
      <c r="A13" s="1" t="s">
        <v>518</v>
      </c>
      <c r="B13" s="1" t="s">
        <v>525</v>
      </c>
      <c r="C13" s="1">
        <v>3</v>
      </c>
      <c r="D13" s="1" t="s">
        <v>526</v>
      </c>
      <c r="F13" s="1" t="s">
        <v>527</v>
      </c>
      <c r="G13" s="1" t="s">
        <v>528</v>
      </c>
      <c r="J13" s="1" t="s">
        <v>529</v>
      </c>
    </row>
    <row r="14" spans="1:12" x14ac:dyDescent="0.4">
      <c r="A14" s="1" t="s">
        <v>518</v>
      </c>
      <c r="B14" s="1" t="s">
        <v>525</v>
      </c>
      <c r="C14" s="1">
        <v>3</v>
      </c>
      <c r="D14" s="1" t="s">
        <v>530</v>
      </c>
      <c r="F14" s="1" t="s">
        <v>190</v>
      </c>
      <c r="G14" s="1" t="s">
        <v>531</v>
      </c>
    </row>
    <row r="15" spans="1:12" x14ac:dyDescent="0.4">
      <c r="A15" s="1" t="s">
        <v>518</v>
      </c>
      <c r="B15" s="1" t="s">
        <v>525</v>
      </c>
      <c r="C15" s="1">
        <v>3</v>
      </c>
      <c r="D15" s="1" t="s">
        <v>532</v>
      </c>
      <c r="G15" s="1" t="s">
        <v>533</v>
      </c>
    </row>
    <row r="16" spans="1:12" x14ac:dyDescent="0.4">
      <c r="A16" s="1" t="s">
        <v>518</v>
      </c>
      <c r="B16" s="1" t="s">
        <v>534</v>
      </c>
      <c r="C16" s="1">
        <v>1</v>
      </c>
      <c r="D16" s="1" t="s">
        <v>535</v>
      </c>
      <c r="F16" s="1" t="s">
        <v>536</v>
      </c>
    </row>
    <row r="18" spans="1:11" x14ac:dyDescent="0.4">
      <c r="A18" s="1" t="s">
        <v>147</v>
      </c>
      <c r="B18" s="1" t="s">
        <v>88</v>
      </c>
      <c r="C18" s="1">
        <v>2</v>
      </c>
      <c r="D18" s="1" t="s">
        <v>537</v>
      </c>
      <c r="G18" s="1" t="s">
        <v>538</v>
      </c>
      <c r="J18" s="1" t="s">
        <v>539</v>
      </c>
      <c r="K18" s="1" t="s">
        <v>540</v>
      </c>
    </row>
    <row r="19" spans="1:11" x14ac:dyDescent="0.4">
      <c r="A19" s="1" t="s">
        <v>147</v>
      </c>
      <c r="B19" s="1" t="s">
        <v>88</v>
      </c>
      <c r="C19" s="1">
        <v>2</v>
      </c>
      <c r="D19" s="1" t="s">
        <v>541</v>
      </c>
      <c r="G19" s="1" t="s">
        <v>542</v>
      </c>
      <c r="H19" s="1" t="s">
        <v>543</v>
      </c>
      <c r="J19" s="1" t="s">
        <v>544</v>
      </c>
    </row>
    <row r="20" spans="1:11" x14ac:dyDescent="0.4">
      <c r="A20" s="1" t="s">
        <v>147</v>
      </c>
      <c r="B20" s="1" t="s">
        <v>149</v>
      </c>
      <c r="C20" s="1">
        <v>2</v>
      </c>
      <c r="D20" s="1" t="s">
        <v>545</v>
      </c>
      <c r="G20" s="1" t="s">
        <v>546</v>
      </c>
      <c r="J20" s="1" t="s">
        <v>547</v>
      </c>
    </row>
    <row r="21" spans="1:11" x14ac:dyDescent="0.4">
      <c r="A21" s="1" t="s">
        <v>147</v>
      </c>
      <c r="B21" s="1" t="s">
        <v>149</v>
      </c>
      <c r="C21" s="1">
        <v>2</v>
      </c>
      <c r="D21" s="1" t="s">
        <v>548</v>
      </c>
      <c r="G21" s="1" t="s">
        <v>549</v>
      </c>
    </row>
    <row r="22" spans="1:11" x14ac:dyDescent="0.4">
      <c r="A22" s="1" t="s">
        <v>147</v>
      </c>
      <c r="B22" s="1" t="s">
        <v>550</v>
      </c>
      <c r="C22" s="1">
        <v>2</v>
      </c>
      <c r="D22" s="1" t="s">
        <v>551</v>
      </c>
      <c r="F22" s="1" t="s">
        <v>550</v>
      </c>
      <c r="G22" s="1" t="s">
        <v>546</v>
      </c>
    </row>
    <row r="23" spans="1:11" x14ac:dyDescent="0.4">
      <c r="A23" s="1" t="s">
        <v>147</v>
      </c>
      <c r="B23" s="1" t="s">
        <v>550</v>
      </c>
      <c r="C23" s="1">
        <v>2</v>
      </c>
      <c r="D23" s="1" t="s">
        <v>552</v>
      </c>
      <c r="F23" s="1" t="s">
        <v>190</v>
      </c>
      <c r="G23" s="1" t="s">
        <v>165</v>
      </c>
      <c r="J23" s="1" t="s">
        <v>553</v>
      </c>
    </row>
    <row r="24" spans="1:11" x14ac:dyDescent="0.4">
      <c r="A24" s="1" t="s">
        <v>147</v>
      </c>
      <c r="B24" s="1" t="s">
        <v>152</v>
      </c>
      <c r="C24" s="1">
        <v>3</v>
      </c>
      <c r="D24" s="1" t="s">
        <v>554</v>
      </c>
      <c r="K24" s="1" t="s">
        <v>555</v>
      </c>
    </row>
    <row r="25" spans="1:11" x14ac:dyDescent="0.4">
      <c r="A25" s="1" t="s">
        <v>147</v>
      </c>
      <c r="B25" s="1" t="s">
        <v>152</v>
      </c>
      <c r="C25" s="1">
        <v>3</v>
      </c>
      <c r="D25" s="1" t="s">
        <v>556</v>
      </c>
      <c r="G25" s="1" t="s">
        <v>90</v>
      </c>
      <c r="H25" s="1" t="s">
        <v>557</v>
      </c>
    </row>
    <row r="26" spans="1:11" x14ac:dyDescent="0.4">
      <c r="A26" s="1" t="s">
        <v>147</v>
      </c>
      <c r="B26" s="1" t="s">
        <v>152</v>
      </c>
      <c r="C26" s="1">
        <v>3</v>
      </c>
      <c r="D26" s="1" t="s">
        <v>558</v>
      </c>
      <c r="F26" s="1" t="s">
        <v>559</v>
      </c>
      <c r="G26" s="1" t="s">
        <v>560</v>
      </c>
      <c r="J26" s="1" t="s">
        <v>561</v>
      </c>
    </row>
    <row r="27" spans="1:11" x14ac:dyDescent="0.4">
      <c r="A27" s="1" t="s">
        <v>147</v>
      </c>
      <c r="B27" s="1" t="s">
        <v>562</v>
      </c>
      <c r="C27" s="1">
        <v>8</v>
      </c>
      <c r="D27" s="1" t="s">
        <v>563</v>
      </c>
      <c r="E27" s="1" t="s">
        <v>564</v>
      </c>
      <c r="G27" s="1" t="s">
        <v>546</v>
      </c>
    </row>
    <row r="28" spans="1:11" x14ac:dyDescent="0.4">
      <c r="A28" s="1" t="s">
        <v>147</v>
      </c>
      <c r="B28" s="1" t="s">
        <v>562</v>
      </c>
      <c r="C28" s="1">
        <v>8</v>
      </c>
      <c r="D28" s="1" t="s">
        <v>565</v>
      </c>
      <c r="E28" s="1" t="s">
        <v>300</v>
      </c>
    </row>
    <row r="29" spans="1:11" x14ac:dyDescent="0.4">
      <c r="A29" s="1" t="s">
        <v>147</v>
      </c>
      <c r="B29" s="1" t="s">
        <v>562</v>
      </c>
      <c r="C29" s="1">
        <v>8</v>
      </c>
      <c r="D29" s="1" t="s">
        <v>566</v>
      </c>
      <c r="E29" s="1" t="s">
        <v>189</v>
      </c>
      <c r="F29" s="1" t="s">
        <v>567</v>
      </c>
      <c r="G29" s="1" t="s">
        <v>568</v>
      </c>
    </row>
    <row r="30" spans="1:11" x14ac:dyDescent="0.4">
      <c r="A30" s="1" t="s">
        <v>147</v>
      </c>
      <c r="B30" s="1" t="s">
        <v>562</v>
      </c>
      <c r="C30" s="1">
        <v>8</v>
      </c>
      <c r="D30" s="1" t="s">
        <v>569</v>
      </c>
      <c r="E30" s="1" t="s">
        <v>189</v>
      </c>
      <c r="G30" s="1" t="s">
        <v>570</v>
      </c>
      <c r="J30" s="1" t="s">
        <v>571</v>
      </c>
    </row>
    <row r="31" spans="1:11" x14ac:dyDescent="0.4">
      <c r="A31" s="1" t="s">
        <v>147</v>
      </c>
      <c r="B31" s="1" t="s">
        <v>562</v>
      </c>
      <c r="C31" s="1">
        <v>8</v>
      </c>
      <c r="D31" s="1" t="s">
        <v>572</v>
      </c>
      <c r="E31" s="1" t="s">
        <v>71</v>
      </c>
      <c r="G31" s="1" t="s">
        <v>151</v>
      </c>
      <c r="H31" s="1" t="s">
        <v>573</v>
      </c>
    </row>
    <row r="32" spans="1:11" x14ac:dyDescent="0.4">
      <c r="A32" s="1" t="s">
        <v>147</v>
      </c>
      <c r="B32" s="1" t="s">
        <v>562</v>
      </c>
      <c r="C32" s="1">
        <v>8</v>
      </c>
      <c r="D32" s="1" t="s">
        <v>574</v>
      </c>
      <c r="E32" s="1" t="s">
        <v>71</v>
      </c>
      <c r="G32" s="1" t="s">
        <v>575</v>
      </c>
    </row>
    <row r="33" spans="1:10" x14ac:dyDescent="0.4">
      <c r="A33" s="1" t="s">
        <v>147</v>
      </c>
      <c r="B33" s="1" t="s">
        <v>562</v>
      </c>
      <c r="C33" s="1">
        <v>8</v>
      </c>
      <c r="D33" s="1" t="s">
        <v>576</v>
      </c>
      <c r="E33" s="1" t="s">
        <v>577</v>
      </c>
      <c r="G33" s="1" t="s">
        <v>578</v>
      </c>
      <c r="H33" s="1" t="s">
        <v>579</v>
      </c>
    </row>
    <row r="34" spans="1:10" x14ac:dyDescent="0.4">
      <c r="A34" s="1" t="s">
        <v>147</v>
      </c>
      <c r="B34" s="1" t="s">
        <v>562</v>
      </c>
      <c r="C34" s="1">
        <v>8</v>
      </c>
      <c r="D34" s="1" t="s">
        <v>580</v>
      </c>
      <c r="E34" s="1" t="s">
        <v>577</v>
      </c>
      <c r="G34" s="1" t="s">
        <v>581</v>
      </c>
      <c r="H34" s="1" t="s">
        <v>582</v>
      </c>
    </row>
    <row r="36" spans="1:10" x14ac:dyDescent="0.4">
      <c r="A36" s="1" t="s">
        <v>583</v>
      </c>
      <c r="B36" s="1" t="s">
        <v>66</v>
      </c>
      <c r="D36" s="1" t="s">
        <v>584</v>
      </c>
      <c r="H36" s="1" t="s">
        <v>585</v>
      </c>
    </row>
    <row r="37" spans="1:10" x14ac:dyDescent="0.4">
      <c r="A37" s="1" t="s">
        <v>583</v>
      </c>
      <c r="B37" s="1" t="s">
        <v>586</v>
      </c>
      <c r="D37" s="1" t="s">
        <v>587</v>
      </c>
      <c r="H37" s="1" t="s">
        <v>588</v>
      </c>
    </row>
    <row r="38" spans="1:10" x14ac:dyDescent="0.4">
      <c r="A38" s="1" t="s">
        <v>583</v>
      </c>
      <c r="B38" s="1" t="s">
        <v>589</v>
      </c>
      <c r="D38" s="1" t="s">
        <v>590</v>
      </c>
      <c r="H38" s="1" t="s">
        <v>591</v>
      </c>
    </row>
    <row r="40" spans="1:10" x14ac:dyDescent="0.4">
      <c r="A40" s="1" t="s">
        <v>229</v>
      </c>
      <c r="B40" s="1" t="s">
        <v>592</v>
      </c>
      <c r="C40" s="1">
        <v>1</v>
      </c>
      <c r="D40" s="1" t="s">
        <v>593</v>
      </c>
    </row>
    <row r="41" spans="1:10" x14ac:dyDescent="0.4">
      <c r="A41" s="1" t="s">
        <v>229</v>
      </c>
      <c r="B41" s="1" t="s">
        <v>594</v>
      </c>
      <c r="C41" s="1">
        <v>2</v>
      </c>
      <c r="D41" s="1" t="s">
        <v>595</v>
      </c>
    </row>
    <row r="42" spans="1:10" x14ac:dyDescent="0.4">
      <c r="A42" s="1" t="s">
        <v>229</v>
      </c>
      <c r="B42" s="1" t="s">
        <v>594</v>
      </c>
      <c r="C42" s="1">
        <v>2</v>
      </c>
      <c r="D42" s="1" t="s">
        <v>596</v>
      </c>
    </row>
    <row r="43" spans="1:10" x14ac:dyDescent="0.4">
      <c r="A43" s="1" t="s">
        <v>229</v>
      </c>
      <c r="B43" s="1" t="s">
        <v>597</v>
      </c>
      <c r="C43" s="1">
        <v>4</v>
      </c>
      <c r="D43" s="1" t="s">
        <v>598</v>
      </c>
      <c r="G43" s="1" t="s">
        <v>599</v>
      </c>
    </row>
    <row r="44" spans="1:10" x14ac:dyDescent="0.4">
      <c r="A44" s="1" t="s">
        <v>229</v>
      </c>
      <c r="B44" s="1" t="s">
        <v>597</v>
      </c>
      <c r="C44" s="1">
        <v>4</v>
      </c>
      <c r="D44" s="1" t="s">
        <v>600</v>
      </c>
      <c r="G44" s="1" t="s">
        <v>50</v>
      </c>
    </row>
    <row r="45" spans="1:10" x14ac:dyDescent="0.4">
      <c r="A45" s="1" t="s">
        <v>229</v>
      </c>
      <c r="B45" s="1" t="s">
        <v>597</v>
      </c>
      <c r="C45" s="1">
        <v>4</v>
      </c>
      <c r="D45" s="1" t="s">
        <v>601</v>
      </c>
      <c r="G45" s="1" t="s">
        <v>84</v>
      </c>
    </row>
    <row r="46" spans="1:10" ht="104.4" x14ac:dyDescent="0.4">
      <c r="A46" s="1" t="s">
        <v>229</v>
      </c>
      <c r="B46" s="1" t="s">
        <v>597</v>
      </c>
      <c r="C46" s="1">
        <v>4</v>
      </c>
      <c r="D46" s="1" t="s">
        <v>602</v>
      </c>
      <c r="H46" s="2" t="s">
        <v>603</v>
      </c>
    </row>
    <row r="48" spans="1:10" x14ac:dyDescent="0.4">
      <c r="A48" s="1" t="s">
        <v>604</v>
      </c>
      <c r="B48" s="1" t="s">
        <v>605</v>
      </c>
      <c r="D48" s="1" t="s">
        <v>606</v>
      </c>
      <c r="G48" s="1" t="s">
        <v>121</v>
      </c>
      <c r="J48" s="1" t="s">
        <v>607</v>
      </c>
    </row>
    <row r="49" spans="1:11" x14ac:dyDescent="0.4">
      <c r="A49" s="1" t="s">
        <v>604</v>
      </c>
      <c r="B49" s="1" t="s">
        <v>605</v>
      </c>
      <c r="D49" s="1" t="s">
        <v>608</v>
      </c>
      <c r="G49" s="1" t="s">
        <v>609</v>
      </c>
      <c r="J49" s="1" t="s">
        <v>364</v>
      </c>
    </row>
    <row r="50" spans="1:11" x14ac:dyDescent="0.4">
      <c r="A50" s="1" t="s">
        <v>604</v>
      </c>
      <c r="B50" s="1" t="s">
        <v>610</v>
      </c>
      <c r="D50" s="1" t="s">
        <v>611</v>
      </c>
      <c r="I50" s="1" t="s">
        <v>612</v>
      </c>
    </row>
    <row r="52" spans="1:11" x14ac:dyDescent="0.4">
      <c r="A52" s="1" t="s">
        <v>66</v>
      </c>
      <c r="B52" s="1" t="s">
        <v>613</v>
      </c>
      <c r="C52" s="1">
        <v>2</v>
      </c>
      <c r="D52" s="1" t="s">
        <v>614</v>
      </c>
      <c r="F52" s="1" t="s">
        <v>615</v>
      </c>
      <c r="G52" s="1" t="s">
        <v>616</v>
      </c>
    </row>
    <row r="53" spans="1:11" x14ac:dyDescent="0.4">
      <c r="A53" s="1" t="s">
        <v>66</v>
      </c>
      <c r="B53" s="1" t="s">
        <v>613</v>
      </c>
      <c r="C53" s="1">
        <v>2</v>
      </c>
      <c r="D53" s="1" t="s">
        <v>617</v>
      </c>
      <c r="G53" s="1" t="s">
        <v>22</v>
      </c>
    </row>
    <row r="54" spans="1:11" x14ac:dyDescent="0.4">
      <c r="A54" s="1" t="s">
        <v>66</v>
      </c>
      <c r="B54" s="1" t="s">
        <v>618</v>
      </c>
      <c r="C54" s="1">
        <v>4</v>
      </c>
      <c r="D54" s="1" t="s">
        <v>619</v>
      </c>
      <c r="F54" s="1" t="s">
        <v>620</v>
      </c>
      <c r="G54" s="1" t="s">
        <v>621</v>
      </c>
      <c r="H54" s="1" t="s">
        <v>622</v>
      </c>
      <c r="K54" s="1" t="s">
        <v>623</v>
      </c>
    </row>
    <row r="55" spans="1:11" x14ac:dyDescent="0.4">
      <c r="A55" s="1" t="s">
        <v>66</v>
      </c>
      <c r="B55" s="1" t="s">
        <v>618</v>
      </c>
      <c r="C55" s="1">
        <v>4</v>
      </c>
      <c r="D55" s="1" t="s">
        <v>624</v>
      </c>
      <c r="F55" s="1" t="s">
        <v>625</v>
      </c>
      <c r="G55" s="1" t="s">
        <v>147</v>
      </c>
    </row>
    <row r="56" spans="1:11" x14ac:dyDescent="0.4">
      <c r="A56" s="1" t="s">
        <v>66</v>
      </c>
      <c r="B56" s="1" t="s">
        <v>618</v>
      </c>
      <c r="C56" s="1">
        <v>4</v>
      </c>
      <c r="D56" s="1" t="s">
        <v>626</v>
      </c>
      <c r="F56" s="1" t="s">
        <v>627</v>
      </c>
      <c r="G56" s="1" t="s">
        <v>378</v>
      </c>
    </row>
    <row r="57" spans="1:11" x14ac:dyDescent="0.4">
      <c r="A57" s="1" t="s">
        <v>66</v>
      </c>
      <c r="B57" s="1" t="s">
        <v>618</v>
      </c>
      <c r="C57" s="1">
        <v>4</v>
      </c>
      <c r="D57" s="1" t="s">
        <v>628</v>
      </c>
    </row>
    <row r="58" spans="1:11" x14ac:dyDescent="0.4">
      <c r="A58" s="1" t="s">
        <v>66</v>
      </c>
      <c r="B58" s="1" t="s">
        <v>138</v>
      </c>
      <c r="C58" s="1">
        <v>6</v>
      </c>
      <c r="D58" s="1" t="s">
        <v>629</v>
      </c>
      <c r="G58" s="1" t="s">
        <v>378</v>
      </c>
      <c r="H58" s="1" t="s">
        <v>630</v>
      </c>
    </row>
    <row r="59" spans="1:11" x14ac:dyDescent="0.4">
      <c r="A59" s="1" t="s">
        <v>66</v>
      </c>
      <c r="B59" s="1" t="s">
        <v>138</v>
      </c>
      <c r="C59" s="1">
        <v>6</v>
      </c>
      <c r="D59" s="1" t="s">
        <v>631</v>
      </c>
      <c r="G59" s="1" t="s">
        <v>632</v>
      </c>
    </row>
    <row r="60" spans="1:11" x14ac:dyDescent="0.4">
      <c r="A60" s="1" t="s">
        <v>66</v>
      </c>
      <c r="B60" s="1" t="s">
        <v>138</v>
      </c>
      <c r="C60" s="1">
        <v>6</v>
      </c>
      <c r="D60" s="1" t="s">
        <v>633</v>
      </c>
      <c r="G60" s="1" t="s">
        <v>634</v>
      </c>
    </row>
    <row r="61" spans="1:11" x14ac:dyDescent="0.4">
      <c r="A61" s="1" t="s">
        <v>66</v>
      </c>
      <c r="B61" s="1" t="s">
        <v>138</v>
      </c>
      <c r="C61" s="1">
        <v>6</v>
      </c>
      <c r="D61" s="1" t="s">
        <v>635</v>
      </c>
      <c r="G61" s="1" t="s">
        <v>636</v>
      </c>
      <c r="H61" s="1" t="s">
        <v>637</v>
      </c>
      <c r="K61" s="1" t="s">
        <v>638</v>
      </c>
    </row>
    <row r="62" spans="1:11" x14ac:dyDescent="0.4">
      <c r="A62" s="1" t="s">
        <v>66</v>
      </c>
      <c r="B62" s="1" t="s">
        <v>138</v>
      </c>
      <c r="C62" s="1">
        <v>6</v>
      </c>
      <c r="D62" s="1" t="s">
        <v>639</v>
      </c>
      <c r="G62" s="1" t="s">
        <v>640</v>
      </c>
    </row>
    <row r="63" spans="1:11" x14ac:dyDescent="0.4">
      <c r="A63" s="1" t="s">
        <v>66</v>
      </c>
      <c r="B63" s="1" t="s">
        <v>138</v>
      </c>
      <c r="C63" s="1">
        <v>6</v>
      </c>
      <c r="D63" s="1" t="s">
        <v>641</v>
      </c>
      <c r="G63" s="1" t="s">
        <v>642</v>
      </c>
      <c r="K63" s="1" t="s">
        <v>619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D155A-BF2B-4D81-AEB3-B117136BF50B}">
  <dimension ref="A2:Q68"/>
  <sheetViews>
    <sheetView tabSelected="1" topLeftCell="D42" workbookViewId="0">
      <selection activeCell="Q68" sqref="Q68"/>
    </sheetView>
  </sheetViews>
  <sheetFormatPr defaultRowHeight="17.399999999999999" x14ac:dyDescent="0.4"/>
  <cols>
    <col min="1" max="1" width="7.83203125" style="1" bestFit="1" customWidth="1"/>
    <col min="2" max="2" width="4.5" style="1" customWidth="1"/>
    <col min="3" max="3" width="6.1640625" style="1" bestFit="1" customWidth="1"/>
    <col min="4" max="4" width="4.75" style="1" customWidth="1"/>
    <col min="5" max="5" width="29.08203125" style="1" customWidth="1"/>
    <col min="6" max="6" width="27.5" style="1" customWidth="1"/>
    <col min="7" max="7" width="7.83203125" style="1" bestFit="1" customWidth="1"/>
    <col min="8" max="12" width="4.75" style="1" customWidth="1"/>
    <col min="13" max="16384" width="8.6640625" style="1"/>
  </cols>
  <sheetData>
    <row r="2" spans="1:16" x14ac:dyDescent="0.4">
      <c r="A2" s="1" t="s">
        <v>308</v>
      </c>
      <c r="B2" s="1">
        <v>1</v>
      </c>
      <c r="E2" s="1" t="s">
        <v>643</v>
      </c>
      <c r="P2" s="1">
        <f>IF(ISBLANK(A2),,IF(ISBLANK(C2),1,0))</f>
        <v>1</v>
      </c>
    </row>
    <row r="3" spans="1:16" x14ac:dyDescent="0.4">
      <c r="P3" s="1">
        <f t="shared" ref="P3:P66" si="0">IF(ISBLANK(A3),,IF(ISBLANK(C3),1,0))</f>
        <v>0</v>
      </c>
    </row>
    <row r="4" spans="1:16" x14ac:dyDescent="0.4">
      <c r="A4" s="1" t="s">
        <v>286</v>
      </c>
      <c r="B4" s="1">
        <v>3</v>
      </c>
      <c r="E4" s="1" t="s">
        <v>644</v>
      </c>
      <c r="P4" s="1">
        <f t="shared" si="0"/>
        <v>1</v>
      </c>
    </row>
    <row r="5" spans="1:16" x14ac:dyDescent="0.4">
      <c r="P5" s="1">
        <f t="shared" si="0"/>
        <v>0</v>
      </c>
    </row>
    <row r="6" spans="1:16" x14ac:dyDescent="0.4">
      <c r="A6" s="1" t="s">
        <v>143</v>
      </c>
      <c r="B6" s="1">
        <v>3</v>
      </c>
      <c r="E6" s="1" t="s">
        <v>645</v>
      </c>
      <c r="P6" s="1">
        <f t="shared" si="0"/>
        <v>1</v>
      </c>
    </row>
    <row r="7" spans="1:16" x14ac:dyDescent="0.4">
      <c r="P7" s="1">
        <f t="shared" si="0"/>
        <v>0</v>
      </c>
    </row>
    <row r="8" spans="1:16" x14ac:dyDescent="0.4">
      <c r="A8" s="1" t="s">
        <v>604</v>
      </c>
      <c r="B8" s="1">
        <v>3</v>
      </c>
      <c r="E8" s="1" t="s">
        <v>646</v>
      </c>
      <c r="F8" s="1" t="s">
        <v>647</v>
      </c>
      <c r="P8" s="1">
        <f t="shared" si="0"/>
        <v>1</v>
      </c>
    </row>
    <row r="9" spans="1:16" x14ac:dyDescent="0.4">
      <c r="P9" s="1">
        <f t="shared" si="0"/>
        <v>0</v>
      </c>
    </row>
    <row r="10" spans="1:16" x14ac:dyDescent="0.4">
      <c r="A10" s="1" t="s">
        <v>583</v>
      </c>
      <c r="B10" s="1">
        <v>3</v>
      </c>
      <c r="E10" s="1" t="s">
        <v>648</v>
      </c>
      <c r="P10" s="1">
        <f t="shared" si="0"/>
        <v>1</v>
      </c>
    </row>
    <row r="11" spans="1:16" x14ac:dyDescent="0.4">
      <c r="P11" s="1">
        <f t="shared" si="0"/>
        <v>0</v>
      </c>
    </row>
    <row r="12" spans="1:16" x14ac:dyDescent="0.4">
      <c r="A12" s="1" t="s">
        <v>426</v>
      </c>
      <c r="B12" s="1">
        <v>4</v>
      </c>
      <c r="E12" s="1" t="s">
        <v>649</v>
      </c>
      <c r="F12" s="1" t="s">
        <v>650</v>
      </c>
      <c r="P12" s="1">
        <f t="shared" si="0"/>
        <v>1</v>
      </c>
    </row>
    <row r="13" spans="1:16" x14ac:dyDescent="0.4">
      <c r="P13" s="1">
        <f t="shared" si="0"/>
        <v>0</v>
      </c>
    </row>
    <row r="14" spans="1:16" x14ac:dyDescent="0.4">
      <c r="A14" s="1" t="s">
        <v>196</v>
      </c>
      <c r="B14" s="1">
        <v>4</v>
      </c>
      <c r="E14" s="1" t="s">
        <v>651</v>
      </c>
      <c r="F14" s="1" t="s">
        <v>652</v>
      </c>
      <c r="P14" s="1">
        <f t="shared" si="0"/>
        <v>1</v>
      </c>
    </row>
    <row r="15" spans="1:16" x14ac:dyDescent="0.4">
      <c r="P15" s="1">
        <f t="shared" si="0"/>
        <v>0</v>
      </c>
    </row>
    <row r="16" spans="1:16" x14ac:dyDescent="0.4">
      <c r="A16" s="1" t="s">
        <v>518</v>
      </c>
      <c r="B16" s="1">
        <v>6</v>
      </c>
      <c r="E16" s="1" t="s">
        <v>653</v>
      </c>
      <c r="F16" s="1" t="s">
        <v>654</v>
      </c>
      <c r="P16" s="1">
        <f t="shared" si="0"/>
        <v>1</v>
      </c>
    </row>
    <row r="17" spans="1:16" x14ac:dyDescent="0.4">
      <c r="P17" s="1">
        <f t="shared" si="0"/>
        <v>0</v>
      </c>
    </row>
    <row r="18" spans="1:16" x14ac:dyDescent="0.4">
      <c r="A18" s="1" t="s">
        <v>229</v>
      </c>
      <c r="B18" s="1">
        <v>7</v>
      </c>
      <c r="E18" s="1" t="s">
        <v>655</v>
      </c>
      <c r="P18" s="1">
        <f t="shared" si="0"/>
        <v>1</v>
      </c>
    </row>
    <row r="19" spans="1:16" x14ac:dyDescent="0.4">
      <c r="P19" s="1">
        <f t="shared" si="0"/>
        <v>0</v>
      </c>
    </row>
    <row r="20" spans="1:16" x14ac:dyDescent="0.4">
      <c r="A20" s="1" t="s">
        <v>656</v>
      </c>
      <c r="B20" s="1">
        <v>7</v>
      </c>
      <c r="P20" s="1">
        <f t="shared" si="0"/>
        <v>1</v>
      </c>
    </row>
    <row r="21" spans="1:16" x14ac:dyDescent="0.4">
      <c r="A21" s="1" t="s">
        <v>656</v>
      </c>
      <c r="B21" s="1">
        <v>7</v>
      </c>
      <c r="C21" s="1" t="s">
        <v>657</v>
      </c>
      <c r="D21" s="1">
        <v>3</v>
      </c>
      <c r="E21" s="1" t="s">
        <v>658</v>
      </c>
      <c r="F21" s="1" t="s">
        <v>659</v>
      </c>
      <c r="P21" s="1">
        <f t="shared" si="0"/>
        <v>0</v>
      </c>
    </row>
    <row r="22" spans="1:16" x14ac:dyDescent="0.4">
      <c r="A22" s="1" t="s">
        <v>656</v>
      </c>
      <c r="B22" s="1">
        <v>7</v>
      </c>
      <c r="C22" s="1" t="s">
        <v>660</v>
      </c>
      <c r="D22" s="1">
        <v>4</v>
      </c>
      <c r="E22" s="1" t="s">
        <v>661</v>
      </c>
      <c r="F22" s="1" t="s">
        <v>662</v>
      </c>
      <c r="P22" s="1">
        <f t="shared" si="0"/>
        <v>0</v>
      </c>
    </row>
    <row r="23" spans="1:16" x14ac:dyDescent="0.4">
      <c r="P23" s="1">
        <f t="shared" si="0"/>
        <v>0</v>
      </c>
    </row>
    <row r="24" spans="1:16" x14ac:dyDescent="0.4">
      <c r="A24" s="1" t="s">
        <v>32</v>
      </c>
      <c r="B24" s="1">
        <v>8</v>
      </c>
      <c r="E24" s="1" t="s">
        <v>663</v>
      </c>
      <c r="F24" s="1" t="s">
        <v>664</v>
      </c>
      <c r="P24" s="1">
        <f t="shared" si="0"/>
        <v>1</v>
      </c>
    </row>
    <row r="25" spans="1:16" x14ac:dyDescent="0.4">
      <c r="P25" s="1">
        <f t="shared" si="0"/>
        <v>0</v>
      </c>
    </row>
    <row r="26" spans="1:16" ht="34.799999999999997" x14ac:dyDescent="0.4">
      <c r="A26" s="1" t="s">
        <v>665</v>
      </c>
      <c r="B26" s="1">
        <v>8</v>
      </c>
      <c r="E26" s="2" t="s">
        <v>666</v>
      </c>
      <c r="F26" s="2" t="s">
        <v>667</v>
      </c>
      <c r="P26" s="1">
        <f t="shared" si="0"/>
        <v>1</v>
      </c>
    </row>
    <row r="27" spans="1:16" x14ac:dyDescent="0.4">
      <c r="P27" s="1">
        <f t="shared" si="0"/>
        <v>0</v>
      </c>
    </row>
    <row r="28" spans="1:16" x14ac:dyDescent="0.4">
      <c r="A28" s="1" t="s">
        <v>668</v>
      </c>
      <c r="B28" s="1">
        <v>8</v>
      </c>
      <c r="E28" s="1" t="s">
        <v>669</v>
      </c>
      <c r="F28" s="1" t="s">
        <v>670</v>
      </c>
      <c r="G28" s="1" t="s">
        <v>671</v>
      </c>
      <c r="P28" s="1">
        <f t="shared" si="0"/>
        <v>1</v>
      </c>
    </row>
    <row r="29" spans="1:16" x14ac:dyDescent="0.4">
      <c r="P29" s="1">
        <f t="shared" si="0"/>
        <v>0</v>
      </c>
    </row>
    <row r="30" spans="1:16" x14ac:dyDescent="0.4">
      <c r="A30" s="1" t="s">
        <v>672</v>
      </c>
      <c r="B30" s="1">
        <v>9</v>
      </c>
      <c r="E30" s="1" t="s">
        <v>673</v>
      </c>
      <c r="F30" s="1" t="s">
        <v>674</v>
      </c>
      <c r="G30" s="1" t="s">
        <v>675</v>
      </c>
      <c r="P30" s="1">
        <f t="shared" si="0"/>
        <v>1</v>
      </c>
    </row>
    <row r="31" spans="1:16" x14ac:dyDescent="0.4">
      <c r="P31" s="1">
        <f t="shared" si="0"/>
        <v>0</v>
      </c>
    </row>
    <row r="32" spans="1:16" x14ac:dyDescent="0.4">
      <c r="A32" s="1" t="s">
        <v>253</v>
      </c>
      <c r="B32" s="1">
        <v>9</v>
      </c>
      <c r="P32" s="1">
        <f t="shared" si="0"/>
        <v>1</v>
      </c>
    </row>
    <row r="33" spans="1:16" x14ac:dyDescent="0.4">
      <c r="A33" s="1" t="s">
        <v>253</v>
      </c>
      <c r="B33" s="1">
        <v>9</v>
      </c>
      <c r="C33" s="1" t="s">
        <v>513</v>
      </c>
      <c r="D33" s="1">
        <v>6</v>
      </c>
      <c r="E33" s="1" t="s">
        <v>676</v>
      </c>
      <c r="F33" s="1" t="s">
        <v>677</v>
      </c>
      <c r="P33" s="1">
        <f t="shared" si="0"/>
        <v>0</v>
      </c>
    </row>
    <row r="34" spans="1:16" x14ac:dyDescent="0.4">
      <c r="A34" s="1" t="s">
        <v>253</v>
      </c>
      <c r="B34" s="1">
        <v>9</v>
      </c>
      <c r="C34" s="1" t="s">
        <v>678</v>
      </c>
      <c r="D34" s="1">
        <v>3</v>
      </c>
      <c r="E34" s="1" t="s">
        <v>679</v>
      </c>
      <c r="F34" s="1" t="s">
        <v>680</v>
      </c>
      <c r="P34" s="1">
        <f t="shared" si="0"/>
        <v>0</v>
      </c>
    </row>
    <row r="35" spans="1:16" x14ac:dyDescent="0.4">
      <c r="P35" s="1">
        <f t="shared" si="0"/>
        <v>0</v>
      </c>
    </row>
    <row r="36" spans="1:16" x14ac:dyDescent="0.4">
      <c r="A36" s="1" t="s">
        <v>66</v>
      </c>
      <c r="B36" s="1">
        <v>12</v>
      </c>
      <c r="P36" s="1">
        <f t="shared" si="0"/>
        <v>1</v>
      </c>
    </row>
    <row r="37" spans="1:16" x14ac:dyDescent="0.4">
      <c r="A37" s="1" t="s">
        <v>66</v>
      </c>
      <c r="B37" s="1">
        <v>12</v>
      </c>
      <c r="C37" s="1" t="s">
        <v>613</v>
      </c>
      <c r="D37" s="1">
        <v>2</v>
      </c>
      <c r="E37" s="1" t="s">
        <v>681</v>
      </c>
      <c r="P37" s="1">
        <f t="shared" si="0"/>
        <v>0</v>
      </c>
    </row>
    <row r="38" spans="1:16" x14ac:dyDescent="0.4">
      <c r="A38" s="1" t="s">
        <v>66</v>
      </c>
      <c r="B38" s="1">
        <v>12</v>
      </c>
      <c r="C38" s="1" t="s">
        <v>618</v>
      </c>
      <c r="D38" s="1">
        <v>4</v>
      </c>
      <c r="E38" s="1" t="s">
        <v>682</v>
      </c>
      <c r="F38" s="1" t="s">
        <v>683</v>
      </c>
      <c r="P38" s="1">
        <f t="shared" si="0"/>
        <v>0</v>
      </c>
    </row>
    <row r="39" spans="1:16" x14ac:dyDescent="0.4">
      <c r="A39" s="1" t="s">
        <v>66</v>
      </c>
      <c r="B39" s="1">
        <v>12</v>
      </c>
      <c r="C39" s="1" t="s">
        <v>509</v>
      </c>
      <c r="D39" s="1">
        <v>6</v>
      </c>
      <c r="E39" s="1" t="s">
        <v>684</v>
      </c>
      <c r="F39" s="1" t="s">
        <v>685</v>
      </c>
      <c r="P39" s="1">
        <f t="shared" si="0"/>
        <v>0</v>
      </c>
    </row>
    <row r="40" spans="1:16" x14ac:dyDescent="0.4">
      <c r="P40" s="1">
        <f t="shared" si="0"/>
        <v>0</v>
      </c>
    </row>
    <row r="41" spans="1:16" x14ac:dyDescent="0.4">
      <c r="A41" s="1" t="s">
        <v>686</v>
      </c>
      <c r="B41" s="1">
        <v>13</v>
      </c>
      <c r="P41" s="1">
        <f t="shared" si="0"/>
        <v>1</v>
      </c>
    </row>
    <row r="42" spans="1:16" x14ac:dyDescent="0.4">
      <c r="A42" s="1" t="s">
        <v>686</v>
      </c>
      <c r="B42" s="1">
        <v>13</v>
      </c>
      <c r="C42" s="1" t="s">
        <v>129</v>
      </c>
      <c r="D42" s="1">
        <v>8</v>
      </c>
      <c r="E42" s="1" t="s">
        <v>687</v>
      </c>
      <c r="F42" s="1" t="s">
        <v>688</v>
      </c>
      <c r="P42" s="1">
        <f t="shared" si="0"/>
        <v>0</v>
      </c>
    </row>
    <row r="43" spans="1:16" x14ac:dyDescent="0.4">
      <c r="A43" s="1" t="s">
        <v>686</v>
      </c>
      <c r="B43" s="1">
        <v>13</v>
      </c>
      <c r="C43" s="1" t="s">
        <v>41</v>
      </c>
      <c r="D43" s="1">
        <v>5</v>
      </c>
      <c r="E43" s="1" t="s">
        <v>689</v>
      </c>
      <c r="F43" s="1" t="s">
        <v>690</v>
      </c>
      <c r="P43" s="1">
        <f t="shared" si="0"/>
        <v>0</v>
      </c>
    </row>
    <row r="44" spans="1:16" x14ac:dyDescent="0.4">
      <c r="P44" s="1">
        <f t="shared" si="0"/>
        <v>0</v>
      </c>
    </row>
    <row r="45" spans="1:16" x14ac:dyDescent="0.4">
      <c r="A45" s="1" t="s">
        <v>147</v>
      </c>
      <c r="B45" s="1">
        <v>17</v>
      </c>
      <c r="E45" s="1" t="s">
        <v>691</v>
      </c>
      <c r="F45" s="1" t="s">
        <v>550</v>
      </c>
      <c r="P45" s="1">
        <f t="shared" si="0"/>
        <v>1</v>
      </c>
    </row>
    <row r="46" spans="1:16" x14ac:dyDescent="0.4">
      <c r="A46" s="1" t="s">
        <v>147</v>
      </c>
      <c r="B46" s="1">
        <v>17</v>
      </c>
      <c r="C46" s="1" t="s">
        <v>88</v>
      </c>
      <c r="D46" s="1">
        <v>2</v>
      </c>
      <c r="E46" s="1" t="s">
        <v>692</v>
      </c>
      <c r="F46" s="1" t="s">
        <v>88</v>
      </c>
      <c r="P46" s="1">
        <f t="shared" si="0"/>
        <v>0</v>
      </c>
    </row>
    <row r="47" spans="1:16" x14ac:dyDescent="0.4">
      <c r="A47" s="1" t="s">
        <v>147</v>
      </c>
      <c r="B47" s="1">
        <v>17</v>
      </c>
      <c r="C47" s="1" t="s">
        <v>550</v>
      </c>
      <c r="D47" s="1">
        <v>2</v>
      </c>
      <c r="E47" s="1" t="s">
        <v>693</v>
      </c>
      <c r="F47" s="1" t="s">
        <v>694</v>
      </c>
      <c r="P47" s="1">
        <f t="shared" si="0"/>
        <v>0</v>
      </c>
    </row>
    <row r="48" spans="1:16" x14ac:dyDescent="0.4">
      <c r="A48" s="1" t="s">
        <v>147</v>
      </c>
      <c r="B48" s="1">
        <v>17</v>
      </c>
      <c r="C48" s="1" t="s">
        <v>149</v>
      </c>
      <c r="D48" s="1">
        <v>2</v>
      </c>
      <c r="E48" s="1" t="s">
        <v>695</v>
      </c>
      <c r="F48" s="1" t="s">
        <v>696</v>
      </c>
      <c r="P48" s="1">
        <f t="shared" si="0"/>
        <v>0</v>
      </c>
    </row>
    <row r="49" spans="1:16" x14ac:dyDescent="0.4">
      <c r="A49" s="1" t="s">
        <v>147</v>
      </c>
      <c r="B49" s="1">
        <v>17</v>
      </c>
      <c r="C49" s="1" t="s">
        <v>152</v>
      </c>
      <c r="D49" s="1">
        <v>3</v>
      </c>
      <c r="E49" s="1" t="s">
        <v>697</v>
      </c>
      <c r="F49" s="1" t="s">
        <v>698</v>
      </c>
      <c r="P49" s="1">
        <f t="shared" si="0"/>
        <v>0</v>
      </c>
    </row>
    <row r="50" spans="1:16" x14ac:dyDescent="0.4">
      <c r="A50" s="1" t="s">
        <v>147</v>
      </c>
      <c r="B50" s="1">
        <v>17</v>
      </c>
      <c r="C50" s="1" t="s">
        <v>562</v>
      </c>
      <c r="D50" s="1">
        <v>8</v>
      </c>
      <c r="E50" s="1" t="s">
        <v>699</v>
      </c>
      <c r="F50" s="1" t="s">
        <v>700</v>
      </c>
      <c r="P50" s="1">
        <f t="shared" si="0"/>
        <v>0</v>
      </c>
    </row>
    <row r="51" spans="1:16" x14ac:dyDescent="0.4">
      <c r="P51" s="1">
        <f t="shared" si="0"/>
        <v>0</v>
      </c>
    </row>
    <row r="52" spans="1:16" x14ac:dyDescent="0.4">
      <c r="A52" s="1" t="s">
        <v>701</v>
      </c>
      <c r="B52" s="1">
        <v>17</v>
      </c>
      <c r="P52" s="1">
        <f t="shared" si="0"/>
        <v>1</v>
      </c>
    </row>
    <row r="53" spans="1:16" x14ac:dyDescent="0.4">
      <c r="A53" s="1" t="s">
        <v>701</v>
      </c>
      <c r="B53" s="1">
        <v>17</v>
      </c>
      <c r="C53" s="1" t="s">
        <v>88</v>
      </c>
      <c r="D53" s="1">
        <v>5</v>
      </c>
      <c r="E53" s="1" t="s">
        <v>702</v>
      </c>
      <c r="F53" s="1" t="s">
        <v>703</v>
      </c>
      <c r="P53" s="1">
        <f t="shared" si="0"/>
        <v>0</v>
      </c>
    </row>
    <row r="54" spans="1:16" x14ac:dyDescent="0.4">
      <c r="A54" s="1" t="s">
        <v>701</v>
      </c>
      <c r="B54" s="1">
        <v>17</v>
      </c>
      <c r="C54" s="1" t="s">
        <v>190</v>
      </c>
      <c r="D54" s="1">
        <v>3</v>
      </c>
      <c r="P54" s="1">
        <f t="shared" si="0"/>
        <v>0</v>
      </c>
    </row>
    <row r="55" spans="1:16" x14ac:dyDescent="0.4">
      <c r="A55" s="1" t="s">
        <v>701</v>
      </c>
      <c r="B55" s="1">
        <v>17</v>
      </c>
      <c r="C55" s="1" t="s">
        <v>704</v>
      </c>
      <c r="D55" s="1">
        <v>2</v>
      </c>
      <c r="P55" s="1">
        <f t="shared" si="0"/>
        <v>0</v>
      </c>
    </row>
    <row r="56" spans="1:16" x14ac:dyDescent="0.4">
      <c r="A56" s="1" t="s">
        <v>701</v>
      </c>
      <c r="B56" s="1">
        <v>17</v>
      </c>
      <c r="C56" s="1" t="s">
        <v>418</v>
      </c>
      <c r="D56" s="1">
        <v>4</v>
      </c>
      <c r="E56" s="1" t="s">
        <v>705</v>
      </c>
      <c r="P56" s="1">
        <f t="shared" si="0"/>
        <v>0</v>
      </c>
    </row>
    <row r="57" spans="1:16" x14ac:dyDescent="0.4">
      <c r="A57" s="1" t="s">
        <v>701</v>
      </c>
      <c r="B57" s="1">
        <v>17</v>
      </c>
      <c r="C57" s="1" t="s">
        <v>419</v>
      </c>
      <c r="D57" s="1">
        <v>2</v>
      </c>
      <c r="P57" s="1">
        <f t="shared" si="0"/>
        <v>0</v>
      </c>
    </row>
    <row r="58" spans="1:16" x14ac:dyDescent="0.4">
      <c r="A58" s="1" t="s">
        <v>701</v>
      </c>
      <c r="B58" s="1">
        <v>17</v>
      </c>
      <c r="C58" s="1" t="s">
        <v>706</v>
      </c>
      <c r="D58" s="1">
        <v>1</v>
      </c>
      <c r="P58" s="1">
        <f t="shared" si="0"/>
        <v>0</v>
      </c>
    </row>
    <row r="59" spans="1:16" x14ac:dyDescent="0.4">
      <c r="P59" s="1">
        <f t="shared" si="0"/>
        <v>0</v>
      </c>
    </row>
    <row r="60" spans="1:16" x14ac:dyDescent="0.4">
      <c r="A60" s="1" t="s">
        <v>707</v>
      </c>
      <c r="B60" s="1">
        <v>19</v>
      </c>
      <c r="E60" s="1" t="s">
        <v>708</v>
      </c>
      <c r="F60" s="1" t="s">
        <v>709</v>
      </c>
      <c r="P60" s="1">
        <f t="shared" si="0"/>
        <v>1</v>
      </c>
    </row>
    <row r="61" spans="1:16" x14ac:dyDescent="0.4">
      <c r="A61" s="1" t="s">
        <v>707</v>
      </c>
      <c r="B61" s="1">
        <v>19</v>
      </c>
      <c r="C61" s="1" t="s">
        <v>90</v>
      </c>
      <c r="D61" s="1">
        <v>2</v>
      </c>
      <c r="E61" s="1" t="s">
        <v>710</v>
      </c>
      <c r="P61" s="1">
        <f t="shared" si="0"/>
        <v>0</v>
      </c>
    </row>
    <row r="62" spans="1:16" x14ac:dyDescent="0.4">
      <c r="A62" s="1" t="s">
        <v>707</v>
      </c>
      <c r="B62" s="1">
        <v>19</v>
      </c>
      <c r="C62" s="1" t="s">
        <v>137</v>
      </c>
      <c r="D62" s="1">
        <v>3</v>
      </c>
      <c r="E62" s="1" t="s">
        <v>711</v>
      </c>
      <c r="F62" s="1" t="s">
        <v>712</v>
      </c>
      <c r="P62" s="1">
        <f t="shared" si="0"/>
        <v>0</v>
      </c>
    </row>
    <row r="63" spans="1:16" x14ac:dyDescent="0.4">
      <c r="A63" s="1" t="s">
        <v>707</v>
      </c>
      <c r="B63" s="1">
        <v>19</v>
      </c>
      <c r="C63" s="1" t="s">
        <v>506</v>
      </c>
      <c r="D63" s="1">
        <v>3</v>
      </c>
      <c r="E63" s="1" t="s">
        <v>713</v>
      </c>
      <c r="F63" s="1" t="s">
        <v>714</v>
      </c>
      <c r="P63" s="1">
        <f t="shared" si="0"/>
        <v>0</v>
      </c>
    </row>
    <row r="64" spans="1:16" x14ac:dyDescent="0.4">
      <c r="A64" s="1" t="s">
        <v>707</v>
      </c>
      <c r="B64" s="1">
        <v>19</v>
      </c>
      <c r="C64" s="1" t="s">
        <v>715</v>
      </c>
      <c r="D64" s="1">
        <v>2</v>
      </c>
      <c r="E64" s="1" t="s">
        <v>716</v>
      </c>
      <c r="F64" s="1" t="s">
        <v>717</v>
      </c>
      <c r="P64" s="1">
        <f t="shared" si="0"/>
        <v>0</v>
      </c>
    </row>
    <row r="65" spans="1:17" x14ac:dyDescent="0.4">
      <c r="A65" s="1" t="s">
        <v>707</v>
      </c>
      <c r="B65" s="1">
        <v>19</v>
      </c>
      <c r="C65" s="1" t="s">
        <v>718</v>
      </c>
      <c r="D65" s="1">
        <v>2</v>
      </c>
      <c r="E65" s="1" t="s">
        <v>719</v>
      </c>
      <c r="F65" s="1" t="s">
        <v>720</v>
      </c>
      <c r="P65" s="1">
        <f t="shared" si="0"/>
        <v>0</v>
      </c>
    </row>
    <row r="66" spans="1:17" x14ac:dyDescent="0.4">
      <c r="A66" s="1" t="s">
        <v>707</v>
      </c>
      <c r="B66" s="1">
        <v>19</v>
      </c>
      <c r="C66" s="1" t="s">
        <v>147</v>
      </c>
      <c r="D66" s="1">
        <v>7</v>
      </c>
      <c r="E66" s="1" t="s">
        <v>721</v>
      </c>
      <c r="F66" s="1" t="s">
        <v>722</v>
      </c>
      <c r="P66" s="1">
        <f t="shared" si="0"/>
        <v>0</v>
      </c>
    </row>
    <row r="68" spans="1:17" x14ac:dyDescent="0.4">
      <c r="Q68" s="1">
        <f>SUMPRODUCT(B:B,P:P)</f>
        <v>161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药</vt:lpstr>
      <vt:lpstr>药总</vt:lpstr>
      <vt:lpstr>方剂</vt:lpstr>
      <vt:lpstr>方剂 总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KUDA</dc:creator>
  <cp:lastModifiedBy>KUDA</cp:lastModifiedBy>
  <dcterms:created xsi:type="dcterms:W3CDTF">2022-03-31T09:29:33Z</dcterms:created>
  <dcterms:modified xsi:type="dcterms:W3CDTF">2022-04-07T14:19:36Z</dcterms:modified>
</cp:coreProperties>
</file>